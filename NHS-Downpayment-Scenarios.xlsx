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urchasing Power" sheetId="2" state="visible" r:id="rId4"/>
    <sheet name="Cost to Buy" sheetId="3" state="visible" r:id="rId5"/>
    <sheet name="Assistance" sheetId="4" state="visible" r:id="rId6"/>
    <sheet name="Sensitiv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<sst xmlns="http://schemas.openxmlformats.org/spreadsheetml/2006/main" count="156" uniqueCount="119">
  <si>
    <t xml:space="preserve">Assumptions and Sources</t>
  </si>
  <si>
    <t xml:space="preserve">Blue cells are inputs. All tables reference them. Black cells are formulas.</t>
  </si>
  <si>
    <t xml:space="preserve">Financing</t>
  </si>
  <si>
    <t xml:space="preserve">30-year fixed rate</t>
  </si>
  <si>
    <t xml:space="preserve">Freddie Mac PMMS, released 2026-09-17</t>
  </si>
  <si>
    <t xml:space="preserve">Loan term (months)</t>
  </si>
  <si>
    <t xml:space="preserve">Standard 30-year term</t>
  </si>
  <si>
    <t xml:space="preserve">Housing DTI (front-end)</t>
  </si>
  <si>
    <t xml:space="preserve">Per Sept 2026 NHS concept note</t>
  </si>
  <si>
    <t xml:space="preserve">Property tax rate</t>
  </si>
  <si>
    <t xml:space="preserve">Insurance (per month)</t>
  </si>
  <si>
    <t xml:space="preserve">Closing costs (% of price)</t>
  </si>
  <si>
    <t xml:space="preserve">Estimate. Replace with NHS observed closing costs if available.</t>
  </si>
  <si>
    <t xml:space="preserve">FHA upfront MIP (financed)</t>
  </si>
  <si>
    <t xml:space="preserve">HUD, 2026</t>
  </si>
  <si>
    <t xml:space="preserve">LA County income limits, 4-person household</t>
  </si>
  <si>
    <t xml:space="preserve">Very low income</t>
  </si>
  <si>
    <t xml:space="preserve">HCD/HUD LA County, effective 2026-06-23</t>
  </si>
  <si>
    <t xml:space="preserve">Area median income</t>
  </si>
  <si>
    <t xml:space="preserve">Lower income (= moderate)</t>
  </si>
  <si>
    <t xml:space="preserve">HCD/HUD LA County. Lower and moderate limits are equal in 2026.</t>
  </si>
  <si>
    <t xml:space="preserve">Mortgage insurance, annual % of loan balance</t>
  </si>
  <si>
    <t xml:space="preserve">97% LTV (3% down)</t>
  </si>
  <si>
    <t xml:space="preserve">Enact HFA rate card (effective 2018-06-04), 680-699 FICO baseline</t>
  </si>
  <si>
    <t xml:space="preserve">95% LTV (5% down)</t>
  </si>
  <si>
    <t xml:space="preserve">90% LTV (10% down)</t>
  </si>
  <si>
    <t xml:space="preserve">80% LTV (20% down)</t>
  </si>
  <si>
    <t xml:space="preserve">No mortgage insurance at 20% down</t>
  </si>
  <si>
    <t xml:space="preserve">FHA annual MIP</t>
  </si>
  <si>
    <t xml:space="preserve">HUD 2026, above 95% LTV. Continues for life of loan when down payment is under 10%.</t>
  </si>
  <si>
    <t xml:space="preserve">Compton price benchmark: Assessor base-year assessed values, 2025-26 transfers (proxy for sale price)</t>
  </si>
  <si>
    <t xml:space="preserve">10th percentile</t>
  </si>
  <si>
    <t xml:space="preserve">LA County Assessor roll, pulled 2026-09-18</t>
  </si>
  <si>
    <t xml:space="preserve">25th percentile</t>
  </si>
  <si>
    <t xml:space="preserve">Median</t>
  </si>
  <si>
    <t xml:space="preserve">75th percentile</t>
  </si>
  <si>
    <t xml:space="preserve">90th percentile</t>
  </si>
  <si>
    <t xml:space="preserve">Parcels in sample</t>
  </si>
  <si>
    <t xml:space="preserve">Single-family, land and improvement base year both 2025 or 2026. Excludes 14 transfers under $200k.</t>
  </si>
  <si>
    <t xml:space="preserve">Percentile method: exclusive (Excel PERCENTILE.EXC) on the 746 retained parcels. The inclusive method gives a 25th percentile of about $559,985.</t>
  </si>
  <si>
    <t xml:space="preserve">Purchasing Power by Income Tier</t>
  </si>
  <si>
    <t xml:space="preserve">Maximum purchase price at the stated housing DTI. Includes principal, interest, property tax, insurance and mortgage insurance.</t>
  </si>
  <si>
    <t xml:space="preserve">Income tier</t>
  </si>
  <si>
    <t xml:space="preserve">3% down
(conventional 97)</t>
  </si>
  <si>
    <t xml:space="preserve">3.5% down
(FHA)</t>
  </si>
  <si>
    <t xml:space="preserve">5% down
(conventional 95)</t>
  </si>
  <si>
    <t xml:space="preserve">10% down
(conventional 90)</t>
  </si>
  <si>
    <t xml:space="preserve">20% down
(conventional 80)</t>
  </si>
  <si>
    <t xml:space="preserve">Down payment %</t>
  </si>
  <si>
    <t xml:space="preserve">Mortgage insurance rate</t>
  </si>
  <si>
    <t xml:space="preserve">Loan per $1 of price</t>
  </si>
  <si>
    <t xml:space="preserve">Maximum purchase price</t>
  </si>
  <si>
    <t xml:space="preserve">Gap to Compton median price (assessed-value proxy)</t>
  </si>
  <si>
    <t xml:space="preserve">Cost to Purchase</t>
  </si>
  <si>
    <t xml:space="preserve">Cash required, monthly cost and qualifying income at two price points.</t>
  </si>
  <si>
    <t xml:space="preserve">At the median price (assessed-value proxy)</t>
  </si>
  <si>
    <t xml:space="preserve">Down payment</t>
  </si>
  <si>
    <t xml:space="preserve">Cash needed
(down + closing)</t>
  </si>
  <si>
    <t xml:space="preserve">Loan amount</t>
  </si>
  <si>
    <t xml:space="preserve">Monthly PITI + MI</t>
  </si>
  <si>
    <t xml:space="preserve">Income required</t>
  </si>
  <si>
    <t xml:space="preserve">Monthly MI portion</t>
  </si>
  <si>
    <t xml:space="preserve">3% down (conventional 97)</t>
  </si>
  <si>
    <t xml:space="preserve">3.5% down (FHA)</t>
  </si>
  <si>
    <t xml:space="preserve">5% down (conventional 95)</t>
  </si>
  <si>
    <t xml:space="preserve">10% down (conventional 90)</t>
  </si>
  <si>
    <t xml:space="preserve">20% down (conventional 80)</t>
  </si>
  <si>
    <t xml:space="preserve">At the 25th-percentile price (assessed-value proxy)</t>
  </si>
  <si>
    <t xml:space="preserve">FHA mortgage insurance continues for the life of the loan when the down payment is under 10%.</t>
  </si>
  <si>
    <t xml:space="preserve">Down Payment Assistance Programs</t>
  </si>
  <si>
    <t xml:space="preserve">Verified September 2026. Amounts shown against Compton median price (assessed-value proxy).</t>
  </si>
  <si>
    <t xml:space="preserve">Program</t>
  </si>
  <si>
    <t xml:space="preserve">% of price</t>
  </si>
  <si>
    <t xml:space="preserve">Cap</t>
  </si>
  <si>
    <t xml:space="preserve">Amount available</t>
  </si>
  <si>
    <t xml:space="preserve">Available to a Compton buyer?</t>
  </si>
  <si>
    <t xml:space="preserve">Structure</t>
  </si>
  <si>
    <t xml:space="preserve">CalHFA MyHome (conventional)</t>
  </si>
  <si>
    <t xml:space="preserve">none</t>
  </si>
  <si>
    <t xml:space="preserve">Yes</t>
  </si>
  <si>
    <t xml:space="preserve">Deferred payment junior loan. Repayable, not a grant.</t>
  </si>
  <si>
    <t xml:space="preserve">CalHFA MyHome (FHA)</t>
  </si>
  <si>
    <t xml:space="preserve">GSFA Platinum</t>
  </si>
  <si>
    <t xml:space="preserve">Gift plus second mortgage. No first-time buyer requirement.</t>
  </si>
  <si>
    <t xml:space="preserve">LACDA HOP80</t>
  </si>
  <si>
    <t xml:space="preserve">No. Compton is not a participating city.</t>
  </si>
  <si>
    <t xml:space="preserve">0% deferred second with shared equity. Maximum purchase price $700,000.</t>
  </si>
  <si>
    <t xml:space="preserve">CalHFA Dream For All</t>
  </si>
  <si>
    <t xml:space="preserve">No. Application window closed 2026-03-16.</t>
  </si>
  <si>
    <t xml:space="preserve">Shared appreciation loan. First-generation buyer requirement.</t>
  </si>
  <si>
    <t xml:space="preserve">Cash required after assistance, at median price</t>
  </si>
  <si>
    <t xml:space="preserve">Cash needed</t>
  </si>
  <si>
    <t xml:space="preserve">After CalHFA MyHome</t>
  </si>
  <si>
    <t xml:space="preserve">After GSFA Platinum</t>
  </si>
  <si>
    <t xml:space="preserve">MyHome and GSFA Platinum attach to different first mortgages. They are alternatives, not additive. Confirm pairing rules with a participating lender.</t>
  </si>
  <si>
    <t xml:space="preserve">Sensitivity</t>
  </si>
  <si>
    <t xml:space="preserve">Tested at 3% down.</t>
  </si>
  <si>
    <t xml:space="preserve">Housing DTI</t>
  </si>
  <si>
    <t xml:space="preserve">Front-end DTI</t>
  </si>
  <si>
    <t xml:space="preserve">Lower-income tier</t>
  </si>
  <si>
    <t xml:space="preserve">AMI tier</t>
  </si>
  <si>
    <t xml:space="preserve">Very low income tier</t>
  </si>
  <si>
    <t xml:space="preserve">Credit score, mortgage insurance pricing at 97% LTV</t>
  </si>
  <si>
    <t xml:space="preserve">FICO band</t>
  </si>
  <si>
    <t xml:space="preserve">PMI rate</t>
  </si>
  <si>
    <t xml:space="preserve">Monthly MI at median price</t>
  </si>
  <si>
    <t xml:space="preserve">Cost over 10 years</t>
  </si>
  <si>
    <t xml:space="preserve">760+</t>
  </si>
  <si>
    <t xml:space="preserve">700-719</t>
  </si>
  <si>
    <t xml:space="preserve">680-699 (used above)</t>
  </si>
  <si>
    <t xml:space="preserve">640-659</t>
  </si>
  <si>
    <t xml:space="preserve">Source: Enact HFA rate card (effective 2018-06-04), fixed term over 20 years.</t>
  </si>
  <si>
    <t xml:space="preserve">Interest rate</t>
  </si>
  <si>
    <t xml:space="preserve">Rate</t>
  </si>
  <si>
    <t xml:space="preserve">Lower-income tier max price</t>
  </si>
  <si>
    <t xml:space="preserve">Concept note, 2026-09-03</t>
  </si>
  <si>
    <t xml:space="preserve">Current, 2026-09-17</t>
  </si>
  <si>
    <t xml:space="preserve">Difference</t>
  </si>
  <si>
    <t xml:space="preserve">Figures shared externally should carry the rate date.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</si>
</sst>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0"/>
    <numFmt numFmtId="167" formatCode="0%"/>
    <numFmt numFmtId="168" formatCode="\$#,##0;&quot;($&quot;#,##0\);\-"/>
    <numFmt numFmtId="169" formatCode="0.0%"/>
    <numFmt numFmtId="170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3" min="3" style="1" width="7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</row>
    <row r="5" customFormat="false" ht="15" hidden="false" customHeight="true" outlineLevel="0" collapsed="false">
      <c r="A5" s="6" t="s">
        <v>3</v>
      </c>
      <c r="B5" s="7" t="n">
        <v>0.0695</v>
      </c>
      <c r="C5" s="8" t="s">
        <v>4</v>
      </c>
    </row>
    <row r="6" customFormat="false" ht="15" hidden="false" customHeight="true" outlineLevel="0" collapsed="false">
      <c r="A6" s="6" t="s">
        <v>5</v>
      </c>
      <c r="B6" s="9" t="n">
        <v>360</v>
      </c>
      <c r="C6" s="8" t="s">
        <v>6</v>
      </c>
    </row>
    <row r="7" customFormat="false" ht="15" hidden="false" customHeight="true" outlineLevel="0" collapsed="false">
      <c r="A7" s="6" t="s">
        <v>7</v>
      </c>
      <c r="B7" s="10" t="n">
        <v>0.3</v>
      </c>
      <c r="C7" s="8" t="s">
        <v>8</v>
      </c>
    </row>
    <row r="8" customFormat="false" ht="15" hidden="false" customHeight="true" outlineLevel="0" collapsed="false">
      <c r="A8" s="6" t="s">
        <v>9</v>
      </c>
      <c r="B8" s="7" t="n">
        <v>0.011</v>
      </c>
      <c r="C8" s="8" t="s">
        <v>8</v>
      </c>
    </row>
    <row r="9" customFormat="false" ht="15" hidden="false" customHeight="true" outlineLevel="0" collapsed="false">
      <c r="A9" s="6" t="s">
        <v>10</v>
      </c>
      <c r="B9" s="11" t="n">
        <v>150</v>
      </c>
      <c r="C9" s="8" t="s">
        <v>8</v>
      </c>
    </row>
    <row r="10" customFormat="false" ht="15" hidden="false" customHeight="true" outlineLevel="0" collapsed="false">
      <c r="A10" s="6" t="s">
        <v>11</v>
      </c>
      <c r="B10" s="7" t="n">
        <v>0.025</v>
      </c>
      <c r="C10" s="8" t="s">
        <v>12</v>
      </c>
    </row>
    <row r="11" customFormat="false" ht="15" hidden="false" customHeight="true" outlineLevel="0" collapsed="false">
      <c r="A11" s="6" t="s">
        <v>13</v>
      </c>
      <c r="B11" s="7" t="n">
        <v>0.0175</v>
      </c>
      <c r="C11" s="8" t="s">
        <v>14</v>
      </c>
    </row>
    <row r="13" customFormat="false" ht="15" hidden="false" customHeight="true" outlineLevel="0" collapsed="false">
      <c r="A13" s="4" t="s">
        <v>15</v>
      </c>
      <c r="B13" s="5"/>
      <c r="C13" s="5"/>
    </row>
    <row r="14" customFormat="false" ht="15" hidden="false" customHeight="true" outlineLevel="0" collapsed="false">
      <c r="A14" s="6" t="s">
        <v>16</v>
      </c>
      <c r="B14" s="11" t="n">
        <v>83300</v>
      </c>
      <c r="C14" s="8" t="s">
        <v>17</v>
      </c>
    </row>
    <row r="15" customFormat="false" ht="15" hidden="false" customHeight="true" outlineLevel="0" collapsed="false">
      <c r="A15" s="6" t="s">
        <v>18</v>
      </c>
      <c r="B15" s="11" t="n">
        <v>108100</v>
      </c>
      <c r="C15" s="8" t="s">
        <v>17</v>
      </c>
    </row>
    <row r="16" customFormat="false" ht="15" hidden="false" customHeight="true" outlineLevel="0" collapsed="false">
      <c r="A16" s="6" t="s">
        <v>19</v>
      </c>
      <c r="B16" s="11" t="n">
        <v>133250</v>
      </c>
      <c r="C16" s="8" t="s">
        <v>20</v>
      </c>
    </row>
    <row r="18" customFormat="false" ht="15" hidden="false" customHeight="true" outlineLevel="0" collapsed="false">
      <c r="A18" s="4" t="s">
        <v>21</v>
      </c>
      <c r="B18" s="5"/>
      <c r="C18" s="5"/>
    </row>
    <row r="19" customFormat="false" ht="15" hidden="false" customHeight="true" outlineLevel="0" collapsed="false">
      <c r="A19" s="6" t="s">
        <v>22</v>
      </c>
      <c r="B19" s="7" t="n">
        <v>0.0121</v>
      </c>
      <c r="C19" s="8" t="s">
        <v>23</v>
      </c>
    </row>
    <row r="20" customFormat="false" ht="15" hidden="false" customHeight="true" outlineLevel="0" collapsed="false">
      <c r="A20" s="6" t="s">
        <v>24</v>
      </c>
      <c r="B20" s="7" t="n">
        <v>0.0096</v>
      </c>
      <c r="C20" s="8" t="s">
        <v>23</v>
      </c>
    </row>
    <row r="21" customFormat="false" ht="15" hidden="false" customHeight="true" outlineLevel="0" collapsed="false">
      <c r="A21" s="6" t="s">
        <v>25</v>
      </c>
      <c r="B21" s="7" t="n">
        <v>0.0065</v>
      </c>
      <c r="C21" s="8" t="s">
        <v>23</v>
      </c>
    </row>
    <row r="22" customFormat="false" ht="15" hidden="false" customHeight="true" outlineLevel="0" collapsed="false">
      <c r="A22" s="6" t="s">
        <v>26</v>
      </c>
      <c r="B22" s="7" t="n">
        <v>0</v>
      </c>
      <c r="C22" s="8" t="s">
        <v>27</v>
      </c>
    </row>
    <row r="23" customFormat="false" ht="15" hidden="false" customHeight="true" outlineLevel="0" collapsed="false">
      <c r="A23" s="6" t="s">
        <v>28</v>
      </c>
      <c r="B23" s="7" t="n">
        <v>0.0055</v>
      </c>
      <c r="C23" s="8" t="s">
        <v>29</v>
      </c>
    </row>
    <row r="25" customFormat="false" ht="15" hidden="false" customHeight="true" outlineLevel="0" collapsed="false">
      <c r="A25" s="4" t="s">
        <v>30</v>
      </c>
      <c r="B25" s="5"/>
      <c r="C25" s="5"/>
    </row>
    <row r="26" customFormat="false" ht="15" hidden="false" customHeight="true" outlineLevel="0" collapsed="false">
      <c r="A26" s="6" t="s">
        <v>31</v>
      </c>
      <c r="B26" s="11" t="n">
        <v>470766</v>
      </c>
      <c r="C26" s="8" t="s">
        <v>32</v>
      </c>
    </row>
    <row r="27" customFormat="false" ht="15" hidden="false" customHeight="true" outlineLevel="0" collapsed="false">
      <c r="A27" s="6" t="s">
        <v>33</v>
      </c>
      <c r="B27" s="11" t="n">
        <v>559482</v>
      </c>
      <c r="C27" s="8" t="s">
        <v>32</v>
      </c>
    </row>
    <row r="28" customFormat="false" ht="15" hidden="false" customHeight="true" outlineLevel="0" collapsed="false">
      <c r="A28" s="6" t="s">
        <v>34</v>
      </c>
      <c r="B28" s="11" t="n">
        <v>633926</v>
      </c>
      <c r="C28" s="8" t="s">
        <v>32</v>
      </c>
    </row>
    <row r="29" customFormat="false" ht="15" hidden="false" customHeight="true" outlineLevel="0" collapsed="false">
      <c r="A29" s="6" t="s">
        <v>35</v>
      </c>
      <c r="B29" s="11" t="n">
        <v>693600</v>
      </c>
      <c r="C29" s="8" t="s">
        <v>32</v>
      </c>
    </row>
    <row r="30" customFormat="false" ht="15" hidden="false" customHeight="true" outlineLevel="0" collapsed="false">
      <c r="A30" s="6" t="s">
        <v>36</v>
      </c>
      <c r="B30" s="11" t="n">
        <v>754086</v>
      </c>
      <c r="C30" s="8" t="s">
        <v>32</v>
      </c>
    </row>
    <row r="31" customFormat="false" ht="15" hidden="false" customHeight="true" outlineLevel="0" collapsed="false">
      <c r="A31" s="6" t="s">
        <v>37</v>
      </c>
      <c r="B31" s="9" t="n">
        <v>746</v>
      </c>
      <c r="C31" s="8" t="s">
        <v>38</v>
      </c>
    </row>
    <row r="33" customFormat="false" ht="15" hidden="false" customHeight="false" outlineLevel="0" collapsed="false">
      <c r="A33" s="1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8"/>
  </cols>
  <sheetData>
    <row r="1" customFormat="false" ht="17.25" hidden="false" customHeight="true" outlineLevel="0" collapsed="false">
      <c r="A1" s="2" t="s">
        <v>40</v>
      </c>
    </row>
    <row r="2" customFormat="false" ht="30" hidden="false" customHeight="true" outlineLevel="0" collapsed="false">
      <c r="A2" s="13" t="s">
        <v>41</v>
      </c>
      <c r="B2" s="13"/>
      <c r="C2" s="13"/>
      <c r="D2" s="13"/>
      <c r="E2" s="13"/>
      <c r="F2" s="13"/>
    </row>
    <row r="4" customFormat="false" ht="30" hidden="false" customHeight="true" outlineLevel="0" collapsed="false">
      <c r="A4" s="14" t="s">
        <v>42</v>
      </c>
      <c r="B4" s="14" t="s">
        <v>43</v>
      </c>
      <c r="C4" s="14" t="s">
        <v>44</v>
      </c>
      <c r="D4" s="14" t="s">
        <v>45</v>
      </c>
      <c r="E4" s="14" t="s">
        <v>46</v>
      </c>
      <c r="F4" s="14" t="s">
        <v>47</v>
      </c>
    </row>
    <row r="5" customFormat="false" ht="15" hidden="false" customHeight="true" outlineLevel="0" collapsed="false">
      <c r="A5" s="3" t="s">
        <v>48</v>
      </c>
      <c r="B5" s="15" t="n">
        <v>0.03</v>
      </c>
      <c r="C5" s="15" t="n">
        <v>0.035</v>
      </c>
      <c r="D5" s="15" t="n">
        <v>0.05</v>
      </c>
      <c r="E5" s="15" t="n">
        <v>0.1</v>
      </c>
      <c r="F5" s="15" t="n">
        <v>0.2</v>
      </c>
    </row>
    <row r="6" customFormat="false" ht="15" hidden="false" customHeight="true" outlineLevel="0" collapsed="false">
      <c r="A6" s="3" t="s">
        <v>49</v>
      </c>
      <c r="B6" s="16" t="n">
        <f aca="false">Assumptions!$B$19</f>
        <v>0.0121</v>
      </c>
      <c r="C6" s="16" t="n">
        <f aca="false">Assumptions!$B$23</f>
        <v>0.0055</v>
      </c>
      <c r="D6" s="16" t="n">
        <f aca="false">Assumptions!$B$20</f>
        <v>0.0096</v>
      </c>
      <c r="E6" s="16" t="n">
        <f aca="false">Assumptions!$B$21</f>
        <v>0.0065</v>
      </c>
      <c r="F6" s="16" t="n">
        <f aca="false">Assumptions!$B$22</f>
        <v>0</v>
      </c>
    </row>
    <row r="7" customFormat="false" ht="15" hidden="false" customHeight="true" outlineLevel="0" collapsed="false">
      <c r="A7" s="3" t="s">
        <v>50</v>
      </c>
      <c r="B7" s="17" t="n">
        <f aca="false">1-B5</f>
        <v>0.97</v>
      </c>
      <c r="C7" s="17" t="n">
        <f aca="false">(1-C5)*(1+Assumptions!$B$11)</f>
        <v>0.9818875</v>
      </c>
      <c r="D7" s="17" t="n">
        <f aca="false">1-D5</f>
        <v>0.95</v>
      </c>
      <c r="E7" s="17" t="n">
        <f aca="false">1-E5</f>
        <v>0.9</v>
      </c>
      <c r="F7" s="17" t="n">
        <f aca="false">1-F5</f>
        <v>0.8</v>
      </c>
    </row>
    <row r="8" customFormat="false" ht="15" hidden="false" customHeight="true" outlineLevel="0" collapsed="false">
      <c r="A8" s="18" t="s">
        <v>51</v>
      </c>
    </row>
    <row r="9" customFormat="false" ht="15" hidden="false" customHeight="true" outlineLevel="0" collapsed="false">
      <c r="A9" s="6" t="s">
        <v>16</v>
      </c>
      <c r="B9" s="19" t="n">
        <f aca="false">(Assumptions!$B$14*Assumptions!$B$7/12-Assumptions!$B$9)/(B$7*(-PMT(Assumptions!$B$5/12,Assumptions!$B$6,1))+Assumptions!$B$8/12+B$7*B$6/12)</f>
        <v>232393.286582657</v>
      </c>
      <c r="C9" s="19" t="n">
        <f aca="false">(Assumptions!$B$14*Assumptions!$B$7/12-Assumptions!$B$9)/(C$7*(-PMT(Assumptions!$B$5/12,Assumptions!$B$6,1))+Assumptions!$B$8/12+C$7*C$6/12)</f>
        <v>245668.786616186</v>
      </c>
      <c r="D9" s="19" t="n">
        <f aca="false">(Assumptions!$B$14*Assumptions!$B$7/12-Assumptions!$B$9)/(D$7*(-PMT(Assumptions!$B$5/12,Assumptions!$B$6,1))+Assumptions!$B$8/12+D$7*D$6/12)</f>
        <v>242618.747471856</v>
      </c>
      <c r="E9" s="19" t="n">
        <f aca="false">(Assumptions!$B$14*Assumptions!$B$7/12-Assumptions!$B$9)/(E$7*(-PMT(Assumptions!$B$5/12,Assumptions!$B$6,1))+Assumptions!$B$8/12+E$7*E$6/12)</f>
        <v>262507.378892698</v>
      </c>
      <c r="F9" s="19" t="n">
        <f aca="false">(Assumptions!$B$14*Assumptions!$B$7/12-Assumptions!$B$9)/(F$7*(-PMT(Assumptions!$B$5/12,Assumptions!$B$6,1))+Assumptions!$B$8/12+F$7*F$6/12)</f>
        <v>311078.920777632</v>
      </c>
    </row>
    <row r="10" customFormat="false" ht="15" hidden="false" customHeight="true" outlineLevel="0" collapsed="false">
      <c r="A10" s="6" t="s">
        <v>18</v>
      </c>
      <c r="B10" s="19" t="n">
        <f aca="false">(Assumptions!$B$15*Assumptions!$B$7/12-Assumptions!$B$9)/(B$7*(-PMT(Assumptions!$B$5/12,Assumptions!$B$6,1))+Assumptions!$B$8/12+B$7*B$6/12)</f>
        <v>306951.54670232</v>
      </c>
      <c r="C10" s="19" t="n">
        <f aca="false">(Assumptions!$B$15*Assumptions!$B$7/12-Assumptions!$B$9)/(C$7*(-PMT(Assumptions!$B$5/12,Assumptions!$B$6,1))+Assumptions!$B$8/12+C$7*C$6/12)</f>
        <v>324486.198104949</v>
      </c>
      <c r="D10" s="19" t="n">
        <f aca="false">(Assumptions!$B$15*Assumptions!$B$7/12-Assumptions!$B$9)/(D$7*(-PMT(Assumptions!$B$5/12,Assumptions!$B$6,1))+Assumptions!$B$8/12+D$7*D$6/12)</f>
        <v>320457.621175633</v>
      </c>
      <c r="E10" s="19" t="n">
        <f aca="false">(Assumptions!$B$15*Assumptions!$B$7/12-Assumptions!$B$9)/(E$7*(-PMT(Assumptions!$B$5/12,Assumptions!$B$6,1))+Assumptions!$B$8/12+E$7*E$6/12)</f>
        <v>346727.081305879</v>
      </c>
      <c r="F10" s="19" t="n">
        <f aca="false">(Assumptions!$B$15*Assumptions!$B$7/12-Assumptions!$B$9)/(F$7*(-PMT(Assumptions!$B$5/12,Assumptions!$B$6,1))+Assumptions!$B$8/12+F$7*F$6/12)</f>
        <v>410881.731065928</v>
      </c>
    </row>
    <row r="11" customFormat="false" ht="15" hidden="false" customHeight="true" outlineLevel="0" collapsed="false">
      <c r="A11" s="6" t="s">
        <v>19</v>
      </c>
      <c r="B11" s="19" t="n">
        <f aca="false">(Assumptions!$B$16*Assumptions!$B$7/12-Assumptions!$B$9)/(B$7*(-PMT(Assumptions!$B$5/12,Assumptions!$B$6,1))+Assumptions!$B$8/12+B$7*B$6/12)</f>
        <v>382562.040331735</v>
      </c>
      <c r="C11" s="19" t="n">
        <f aca="false">(Assumptions!$B$16*Assumptions!$B$7/12-Assumptions!$B$9)/(C$7*(-PMT(Assumptions!$B$5/12,Assumptions!$B$6,1))+Assumptions!$B$8/12+C$7*C$6/12)</f>
        <v>404415.952094562</v>
      </c>
      <c r="D11" s="19" t="n">
        <f aca="false">(Assumptions!$B$16*Assumptions!$B$7/12-Assumptions!$B$9)/(D$7*(-PMT(Assumptions!$B$5/12,Assumptions!$B$6,1))+Assumptions!$B$8/12+D$7*D$6/12)</f>
        <v>399395.027371198</v>
      </c>
      <c r="E11" s="19" t="n">
        <f aca="false">(Assumptions!$B$16*Assumptions!$B$7/12-Assumptions!$B$9)/(E$7*(-PMT(Assumptions!$B$5/12,Assumptions!$B$6,1))+Assumptions!$B$8/12+E$7*E$6/12)</f>
        <v>432135.368228923</v>
      </c>
      <c r="F11" s="19" t="n">
        <f aca="false">(Assumptions!$B$16*Assumptions!$B$7/12-Assumptions!$B$9)/(F$7*(-PMT(Assumptions!$B$5/12,Assumptions!$B$6,1))+Assumptions!$B$8/12+F$7*F$6/12)</f>
        <v>512093.048757486</v>
      </c>
    </row>
    <row r="12" customFormat="false" ht="15" hidden="false" customHeight="true" outlineLevel="0" collapsed="false">
      <c r="A12" s="18" t="s">
        <v>52</v>
      </c>
      <c r="B12" s="18" t="str">
        <f aca="false">TEXT(Assumptions!$B$28,"$#,##0")</f>
        <v>$633,926</v>
      </c>
    </row>
    <row r="13" customFormat="false" ht="15" hidden="false" customHeight="true" outlineLevel="0" collapsed="false">
      <c r="A13" s="6" t="s">
        <v>16</v>
      </c>
      <c r="B13" s="19" t="n">
        <f aca="false">B9-Assumptions!$B$28</f>
        <v>-401532.713417343</v>
      </c>
      <c r="C13" s="19" t="n">
        <f aca="false">C9-Assumptions!$B$28</f>
        <v>-388257.213383814</v>
      </c>
      <c r="D13" s="19" t="n">
        <f aca="false">D9-Assumptions!$B$28</f>
        <v>-391307.252528144</v>
      </c>
      <c r="E13" s="19" t="n">
        <f aca="false">E9-Assumptions!$B$28</f>
        <v>-371418.621107303</v>
      </c>
      <c r="F13" s="19" t="n">
        <f aca="false">F9-Assumptions!$B$28</f>
        <v>-322847.079222368</v>
      </c>
    </row>
    <row r="14" customFormat="false" ht="15" hidden="false" customHeight="true" outlineLevel="0" collapsed="false">
      <c r="A14" s="6" t="s">
        <v>18</v>
      </c>
      <c r="B14" s="19" t="n">
        <f aca="false">B10-Assumptions!$B$28</f>
        <v>-326974.45329768</v>
      </c>
      <c r="C14" s="19" t="n">
        <f aca="false">C10-Assumptions!$B$28</f>
        <v>-309439.801895051</v>
      </c>
      <c r="D14" s="19" t="n">
        <f aca="false">D10-Assumptions!$B$28</f>
        <v>-313468.378824367</v>
      </c>
      <c r="E14" s="19" t="n">
        <f aca="false">E10-Assumptions!$B$28</f>
        <v>-287198.918694121</v>
      </c>
      <c r="F14" s="19" t="n">
        <f aca="false">F10-Assumptions!$B$28</f>
        <v>-223044.268934072</v>
      </c>
    </row>
    <row r="15" customFormat="false" ht="15" hidden="false" customHeight="true" outlineLevel="0" collapsed="false">
      <c r="A15" s="6" t="s">
        <v>19</v>
      </c>
      <c r="B15" s="19" t="n">
        <f aca="false">B11-Assumptions!$B$28</f>
        <v>-251363.959668265</v>
      </c>
      <c r="C15" s="19" t="n">
        <f aca="false">C11-Assumptions!$B$28</f>
        <v>-229510.047905438</v>
      </c>
      <c r="D15" s="19" t="n">
        <f aca="false">D11-Assumptions!$B$28</f>
        <v>-234530.972628802</v>
      </c>
      <c r="E15" s="19" t="n">
        <f aca="false">E11-Assumptions!$B$28</f>
        <v>-201790.631771077</v>
      </c>
      <c r="F15" s="19" t="n">
        <f aca="false">F11-Assumptions!$B$28</f>
        <v>-121832.951242514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8"/>
  </cols>
  <sheetData>
    <row r="1" customFormat="false" ht="17.25" hidden="false" customHeight="true" outlineLevel="0" collapsed="false">
      <c r="A1" s="2" t="s">
        <v>53</v>
      </c>
    </row>
    <row r="2" customFormat="false" ht="15" hidden="false" customHeight="true" outlineLevel="0" collapsed="false">
      <c r="A2" s="3" t="s">
        <v>54</v>
      </c>
    </row>
    <row r="4" customFormat="false" ht="15" hidden="false" customHeight="true" outlineLevel="0" collapsed="false">
      <c r="A4" s="18" t="s">
        <v>55</v>
      </c>
      <c r="B4" s="20" t="n">
        <f aca="false">Assumptions!$B$28</f>
        <v>633926</v>
      </c>
    </row>
    <row r="5" customFormat="false" ht="30" hidden="false" customHeight="true" outlineLevel="0" collapsed="false">
      <c r="A5" s="14" t="s">
        <v>56</v>
      </c>
      <c r="B5" s="14" t="s">
        <v>57</v>
      </c>
      <c r="C5" s="14" t="s">
        <v>58</v>
      </c>
      <c r="D5" s="14" t="s">
        <v>59</v>
      </c>
      <c r="E5" s="14" t="s">
        <v>60</v>
      </c>
      <c r="F5" s="14" t="s">
        <v>61</v>
      </c>
    </row>
    <row r="6" customFormat="false" ht="15" hidden="false" customHeight="true" outlineLevel="0" collapsed="false">
      <c r="A6" s="6" t="s">
        <v>62</v>
      </c>
      <c r="B6" s="19" t="n">
        <f aca="false">Assumptions!$B$28*0.03+Assumptions!$B$28*Assumptions!$B$10</f>
        <v>34865.93</v>
      </c>
      <c r="C6" s="19" t="n">
        <f aca="false">Assumptions!$B$28*(1-0.03)</f>
        <v>614908.22</v>
      </c>
      <c r="D6" s="19" t="n">
        <f aca="false">C6*(-PMT(Assumptions!$B$5/12,Assumptions!$B$6,1))+Assumptions!$B$28*Assumptions!$B$8/12+Assumptions!$B$9+C6*Assumptions!$B$19/12</f>
        <v>5421.50337694575</v>
      </c>
      <c r="E6" s="19" t="n">
        <f aca="false">D6*12/Assumptions!$B$7</f>
        <v>216860.13507783</v>
      </c>
      <c r="F6" s="19" t="n">
        <f aca="false">C6*Assumptions!$B$19/12</f>
        <v>620.032455166667</v>
      </c>
    </row>
    <row r="7" customFormat="false" ht="15" hidden="false" customHeight="true" outlineLevel="0" collapsed="false">
      <c r="A7" s="6" t="s">
        <v>63</v>
      </c>
      <c r="B7" s="19" t="n">
        <f aca="false">Assumptions!$B$28*0.035+Assumptions!$B$28*Assumptions!$B$10</f>
        <v>38035.56</v>
      </c>
      <c r="C7" s="19" t="n">
        <f aca="false">Assumptions!$B$28*(1-0.035)*(1+Assumptions!$B$11)</f>
        <v>622444.015325</v>
      </c>
      <c r="D7" s="19" t="n">
        <f aca="false">C7*(-PMT(Assumptions!$B$5/12,Assumptions!$B$6,1))+Assumptions!$B$28*Assumptions!$B$8/12+Assumptions!$B$9+C7*Assumptions!$B$23/12</f>
        <v>5136.64080151926</v>
      </c>
      <c r="E7" s="19" t="n">
        <f aca="false">D7*12/Assumptions!$B$7</f>
        <v>205465.632060771</v>
      </c>
      <c r="F7" s="19" t="n">
        <f aca="false">C7*Assumptions!$B$23/12</f>
        <v>285.286840357292</v>
      </c>
    </row>
    <row r="8" customFormat="false" ht="15" hidden="false" customHeight="true" outlineLevel="0" collapsed="false">
      <c r="A8" s="6" t="s">
        <v>64</v>
      </c>
      <c r="B8" s="19" t="n">
        <f aca="false">Assumptions!$B$28*0.05+Assumptions!$B$28*Assumptions!$B$10</f>
        <v>47544.45</v>
      </c>
      <c r="C8" s="19" t="n">
        <f aca="false">Assumptions!$B$28*(1-0.05)</f>
        <v>602229.7</v>
      </c>
      <c r="D8" s="19" t="n">
        <f aca="false">C8*(-PMT(Assumptions!$B$5/12,Assumptions!$B$6,1))+Assumptions!$B$28*Assumptions!$B$8/12+Assumptions!$B$9+C8*Assumptions!$B$20/12</f>
        <v>5199.32948407917</v>
      </c>
      <c r="E8" s="19" t="n">
        <f aca="false">D8*12/Assumptions!$B$7</f>
        <v>207973.179363167</v>
      </c>
      <c r="F8" s="19" t="n">
        <f aca="false">C8*Assumptions!$B$20/12</f>
        <v>481.78376</v>
      </c>
    </row>
    <row r="9" customFormat="false" ht="15" hidden="false" customHeight="true" outlineLevel="0" collapsed="false">
      <c r="A9" s="6" t="s">
        <v>65</v>
      </c>
      <c r="B9" s="19" t="n">
        <f aca="false">Assumptions!$B$28*0.1+Assumptions!$B$28*Assumptions!$B$10</f>
        <v>79240.75</v>
      </c>
      <c r="C9" s="19" t="n">
        <f aca="false">Assumptions!$B$28*(1-0.1)</f>
        <v>570533.4</v>
      </c>
      <c r="D9" s="19" t="n">
        <f aca="false">C9*(-PMT(Assumptions!$B$5/12,Assumptions!$B$6,1))+Assumptions!$B$28*Assumptions!$B$8/12+Assumptions!$B$9+C9*Assumptions!$B$21/12</f>
        <v>4816.77165482939</v>
      </c>
      <c r="E9" s="19" t="n">
        <f aca="false">D9*12/Assumptions!$B$7</f>
        <v>192670.866193176</v>
      </c>
      <c r="F9" s="19" t="n">
        <f aca="false">C9*Assumptions!$B$21/12</f>
        <v>309.038925</v>
      </c>
    </row>
    <row r="10" customFormat="false" ht="15" hidden="false" customHeight="true" outlineLevel="0" collapsed="false">
      <c r="A10" s="6" t="s">
        <v>66</v>
      </c>
      <c r="B10" s="19" t="n">
        <f aca="false">Assumptions!$B$28*0.2+Assumptions!$B$28*Assumptions!$B$10</f>
        <v>142633.35</v>
      </c>
      <c r="C10" s="19" t="n">
        <f aca="false">Assumptions!$B$28*(1-0.2)</f>
        <v>507140.8</v>
      </c>
      <c r="D10" s="19" t="n">
        <f aca="false">C10*(-PMT(Assumptions!$B$5/12,Assumptions!$B$6,1))+Assumptions!$B$28*Assumptions!$B$8/12+Assumptions!$B$9+C10*Assumptions!$B$22/12</f>
        <v>4088.10674132983</v>
      </c>
      <c r="E10" s="19" t="n">
        <f aca="false">D10*12/Assumptions!$B$7</f>
        <v>163524.269653193</v>
      </c>
      <c r="F10" s="19" t="n">
        <f aca="false">C10*Assumptions!$B$22/12</f>
        <v>0</v>
      </c>
    </row>
    <row r="14" customFormat="false" ht="15" hidden="false" customHeight="true" outlineLevel="0" collapsed="false">
      <c r="A14" s="18" t="s">
        <v>67</v>
      </c>
      <c r="B14" s="20" t="n">
        <f aca="false">Assumptions!$B$27</f>
        <v>559482</v>
      </c>
    </row>
    <row r="15" customFormat="false" ht="30" hidden="false" customHeight="true" outlineLevel="0" collapsed="false">
      <c r="A15" s="14" t="s">
        <v>56</v>
      </c>
      <c r="B15" s="14" t="s">
        <v>57</v>
      </c>
      <c r="C15" s="14" t="s">
        <v>58</v>
      </c>
      <c r="D15" s="14" t="s">
        <v>59</v>
      </c>
      <c r="E15" s="14" t="s">
        <v>60</v>
      </c>
      <c r="F15" s="14" t="s">
        <v>61</v>
      </c>
    </row>
    <row r="16" customFormat="false" ht="15" hidden="false" customHeight="true" outlineLevel="0" collapsed="false">
      <c r="A16" s="6" t="s">
        <v>62</v>
      </c>
      <c r="B16" s="19" t="n">
        <f aca="false">Assumptions!$B$27*0.03+Assumptions!$B$27*Assumptions!$B$10</f>
        <v>30771.51</v>
      </c>
      <c r="C16" s="19" t="n">
        <f aca="false">Assumptions!$B$27*(1-0.03)</f>
        <v>542697.54</v>
      </c>
      <c r="D16" s="19" t="n">
        <f aca="false">C16*(-PMT(Assumptions!$B$5/12,Assumptions!$B$6,1))+Assumptions!$B$27*Assumptions!$B$8/12+Assumptions!$B$9+C16*Assumptions!$B$19/12</f>
        <v>4802.45352350332</v>
      </c>
      <c r="E16" s="19" t="n">
        <f aca="false">D16*12/Assumptions!$B$7</f>
        <v>192098.140940133</v>
      </c>
      <c r="F16" s="19" t="n">
        <f aca="false">C16*Assumptions!$B$19/12</f>
        <v>547.2200195</v>
      </c>
    </row>
    <row r="17" customFormat="false" ht="15" hidden="false" customHeight="true" outlineLevel="0" collapsed="false">
      <c r="A17" s="6" t="s">
        <v>63</v>
      </c>
      <c r="B17" s="19" t="n">
        <f aca="false">Assumptions!$B$27*0.035+Assumptions!$B$27*Assumptions!$B$10</f>
        <v>33568.92</v>
      </c>
      <c r="C17" s="19" t="n">
        <f aca="false">Assumptions!$B$27*(1-0.035)*(1+Assumptions!$B$11)</f>
        <v>549348.382275</v>
      </c>
      <c r="D17" s="19" t="n">
        <f aca="false">C17*(-PMT(Assumptions!$B$5/12,Assumptions!$B$6,1))+Assumptions!$B$27*Assumptions!$B$8/12+Assumptions!$B$9+C17*Assumptions!$B$23/12</f>
        <v>4551.04329040866</v>
      </c>
      <c r="E17" s="19" t="n">
        <f aca="false">D17*12/Assumptions!$B$7</f>
        <v>182041.731616346</v>
      </c>
      <c r="F17" s="19" t="n">
        <f aca="false">C17*Assumptions!$B$23/12</f>
        <v>251.784675209375</v>
      </c>
    </row>
    <row r="18" customFormat="false" ht="15" hidden="false" customHeight="true" outlineLevel="0" collapsed="false">
      <c r="A18" s="6" t="s">
        <v>64</v>
      </c>
      <c r="B18" s="19" t="n">
        <f aca="false">Assumptions!$B$27*0.05+Assumptions!$B$27*Assumptions!$B$10</f>
        <v>41961.15</v>
      </c>
      <c r="C18" s="19" t="n">
        <f aca="false">Assumptions!$B$27*(1-0.05)</f>
        <v>531507.9</v>
      </c>
      <c r="D18" s="19" t="n">
        <f aca="false">C18*(-PMT(Assumptions!$B$5/12,Assumptions!$B$6,1))+Assumptions!$B$27*Assumptions!$B$8/12+Assumptions!$B$9+C18*Assumptions!$B$20/12</f>
        <v>4606.37023629191</v>
      </c>
      <c r="E18" s="19" t="n">
        <f aca="false">D18*12/Assumptions!$B$7</f>
        <v>184254.809451676</v>
      </c>
      <c r="F18" s="19" t="n">
        <f aca="false">C18*Assumptions!$B$20/12</f>
        <v>425.20632</v>
      </c>
    </row>
    <row r="19" customFormat="false" ht="15" hidden="false" customHeight="true" outlineLevel="0" collapsed="false">
      <c r="A19" s="6" t="s">
        <v>65</v>
      </c>
      <c r="B19" s="19" t="n">
        <f aca="false">Assumptions!$B$27*0.1+Assumptions!$B$27*Assumptions!$B$10</f>
        <v>69935.25</v>
      </c>
      <c r="C19" s="19" t="n">
        <f aca="false">Assumptions!$B$27*(1-0.1)</f>
        <v>503533.8</v>
      </c>
      <c r="D19" s="19" t="n">
        <f aca="false">C19*(-PMT(Assumptions!$B$5/12,Assumptions!$B$6,1))+Assumptions!$B$27*Assumptions!$B$8/12+Assumptions!$B$9+C19*Assumptions!$B$21/12</f>
        <v>4268.73742201339</v>
      </c>
      <c r="E19" s="19" t="n">
        <f aca="false">D19*12/Assumptions!$B$7</f>
        <v>170749.496880535</v>
      </c>
      <c r="F19" s="19" t="n">
        <f aca="false">C19*Assumptions!$B$21/12</f>
        <v>272.747475</v>
      </c>
    </row>
    <row r="20" customFormat="false" ht="15" hidden="false" customHeight="true" outlineLevel="0" collapsed="false">
      <c r="A20" s="6" t="s">
        <v>66</v>
      </c>
      <c r="B20" s="19" t="n">
        <f aca="false">Assumptions!$B$27*0.2+Assumptions!$B$27*Assumptions!$B$10</f>
        <v>125883.45</v>
      </c>
      <c r="C20" s="19" t="n">
        <f aca="false">Assumptions!$B$27*(1-0.2)</f>
        <v>447585.6</v>
      </c>
      <c r="D20" s="19" t="n">
        <f aca="false">C20*(-PMT(Assumptions!$B$5/12,Assumptions!$B$6,1))+Assumptions!$B$27*Assumptions!$B$8/12+Assumptions!$B$9+C20*Assumptions!$B$22/12</f>
        <v>3625.64200845634</v>
      </c>
      <c r="E20" s="19" t="n">
        <f aca="false">D20*12/Assumptions!$B$7</f>
        <v>145025.680338254</v>
      </c>
      <c r="F20" s="19" t="n">
        <f aca="false">C20*Assumptions!$B$22/12</f>
        <v>0</v>
      </c>
    </row>
    <row r="24" customFormat="false" ht="15" hidden="false" customHeight="true" outlineLevel="0" collapsed="false">
      <c r="A24" s="21" t="s">
        <v>68</v>
      </c>
      <c r="B24" s="21"/>
      <c r="C24" s="21"/>
      <c r="D24" s="21"/>
      <c r="E24" s="21"/>
      <c r="F24" s="21"/>
    </row>
  </sheetData>
  <mergeCells count="1"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6" min="2" style="1" width="18"/>
  </cols>
  <sheetData>
    <row r="1" customFormat="false" ht="17.25" hidden="false" customHeight="true" outlineLevel="0" collapsed="false">
      <c r="A1" s="2" t="s">
        <v>69</v>
      </c>
    </row>
    <row r="2" customFormat="false" ht="15" hidden="false" customHeight="true" outlineLevel="0" collapsed="false">
      <c r="A2" s="3" t="s">
        <v>70</v>
      </c>
    </row>
    <row r="4" customFormat="false" ht="30" hidden="false" customHeight="true" outlineLevel="0" collapsed="false">
      <c r="A4" s="14" t="s">
        <v>71</v>
      </c>
      <c r="B4" s="14" t="s">
        <v>72</v>
      </c>
      <c r="C4" s="14" t="s">
        <v>73</v>
      </c>
      <c r="D4" s="14" t="s">
        <v>74</v>
      </c>
      <c r="E4" s="14" t="s">
        <v>75</v>
      </c>
      <c r="F4" s="14" t="s">
        <v>76</v>
      </c>
    </row>
    <row r="5" customFormat="false" ht="15" hidden="false" customHeight="true" outlineLevel="0" collapsed="false">
      <c r="A5" s="6" t="s">
        <v>77</v>
      </c>
      <c r="B5" s="15" t="n">
        <v>0.03</v>
      </c>
      <c r="C5" s="22" t="s">
        <v>78</v>
      </c>
      <c r="D5" s="19" t="n">
        <f aca="false">Assumptions!$B$28*B5</f>
        <v>19017.78</v>
      </c>
      <c r="E5" s="23" t="s">
        <v>79</v>
      </c>
      <c r="F5" s="8" t="s">
        <v>80</v>
      </c>
    </row>
    <row r="6" customFormat="false" ht="15" hidden="false" customHeight="true" outlineLevel="0" collapsed="false">
      <c r="A6" s="6" t="s">
        <v>81</v>
      </c>
      <c r="B6" s="15" t="n">
        <v>0.035</v>
      </c>
      <c r="C6" s="22" t="s">
        <v>78</v>
      </c>
      <c r="D6" s="19" t="n">
        <f aca="false">Assumptions!$B$28*B6</f>
        <v>22187.41</v>
      </c>
      <c r="E6" s="23" t="s">
        <v>79</v>
      </c>
      <c r="F6" s="8" t="s">
        <v>80</v>
      </c>
    </row>
    <row r="7" customFormat="false" ht="15" hidden="false" customHeight="true" outlineLevel="0" collapsed="false">
      <c r="A7" s="6" t="s">
        <v>82</v>
      </c>
      <c r="B7" s="15" t="n">
        <v>0.055</v>
      </c>
      <c r="C7" s="22" t="s">
        <v>78</v>
      </c>
      <c r="D7" s="19" t="n">
        <f aca="false">Assumptions!$B$28*B7</f>
        <v>34865.93</v>
      </c>
      <c r="E7" s="23" t="s">
        <v>79</v>
      </c>
      <c r="F7" s="8" t="s">
        <v>83</v>
      </c>
    </row>
    <row r="8" customFormat="false" ht="23.25" hidden="false" customHeight="true" outlineLevel="0" collapsed="false">
      <c r="A8" s="6" t="s">
        <v>84</v>
      </c>
      <c r="B8" s="15" t="n">
        <v>0.2</v>
      </c>
      <c r="C8" s="11" t="n">
        <v>100000</v>
      </c>
      <c r="D8" s="19" t="n">
        <f aca="false">MIN(Assumptions!$B$28*B8,C8)</f>
        <v>100000</v>
      </c>
      <c r="E8" s="24" t="s">
        <v>85</v>
      </c>
      <c r="F8" s="8" t="s">
        <v>86</v>
      </c>
    </row>
    <row r="9" customFormat="false" ht="34.5" hidden="false" customHeight="true" outlineLevel="0" collapsed="false">
      <c r="A9" s="6" t="s">
        <v>87</v>
      </c>
      <c r="B9" s="15" t="n">
        <v>0.2</v>
      </c>
      <c r="C9" s="11" t="n">
        <v>150000</v>
      </c>
      <c r="D9" s="19" t="n">
        <f aca="false">MIN(Assumptions!$B$28*B9,C9)</f>
        <v>126785.2</v>
      </c>
      <c r="E9" s="24" t="s">
        <v>88</v>
      </c>
      <c r="F9" s="8" t="s">
        <v>89</v>
      </c>
    </row>
    <row r="13" customFormat="false" ht="15" hidden="false" customHeight="true" outlineLevel="0" collapsed="false">
      <c r="A13" s="18" t="s">
        <v>90</v>
      </c>
    </row>
    <row r="14" customFormat="false" ht="30" hidden="false" customHeight="true" outlineLevel="0" collapsed="false">
      <c r="A14" s="14" t="s">
        <v>56</v>
      </c>
      <c r="B14" s="14" t="s">
        <v>91</v>
      </c>
      <c r="C14" s="14" t="s">
        <v>92</v>
      </c>
      <c r="D14" s="14" t="s">
        <v>93</v>
      </c>
      <c r="E14" s="14"/>
      <c r="F14" s="14"/>
    </row>
    <row r="15" customFormat="false" ht="15" hidden="false" customHeight="true" outlineLevel="0" collapsed="false">
      <c r="A15" s="6" t="s">
        <v>62</v>
      </c>
      <c r="B15" s="19" t="n">
        <f aca="false">Assumptions!$B$28*0.03+Assumptions!$B$28*Assumptions!$B$10</f>
        <v>34865.93</v>
      </c>
      <c r="C15" s="19" t="n">
        <f aca="false">MAX(0,B15-$D$5)</f>
        <v>15848.15</v>
      </c>
      <c r="D15" s="19" t="n">
        <f aca="false">MAX(0,B15-$D$7)</f>
        <v>0</v>
      </c>
    </row>
    <row r="16" customFormat="false" ht="15" hidden="false" customHeight="true" outlineLevel="0" collapsed="false">
      <c r="A16" s="6" t="s">
        <v>63</v>
      </c>
      <c r="B16" s="19" t="n">
        <f aca="false">Assumptions!$B$28*0.035+Assumptions!$B$28*Assumptions!$B$10</f>
        <v>38035.56</v>
      </c>
      <c r="C16" s="19" t="n">
        <f aca="false">MAX(0,B16-$D$6)</f>
        <v>15848.15</v>
      </c>
      <c r="D16" s="19" t="n">
        <f aca="false">MAX(0,B16-$D$7)</f>
        <v>3169.63</v>
      </c>
    </row>
    <row r="17" customFormat="false" ht="15" hidden="false" customHeight="true" outlineLevel="0" collapsed="false">
      <c r="A17" s="6" t="s">
        <v>64</v>
      </c>
      <c r="B17" s="19" t="n">
        <f aca="false">Assumptions!$B$28*0.05+Assumptions!$B$28*Assumptions!$B$10</f>
        <v>47544.45</v>
      </c>
      <c r="C17" s="19" t="n">
        <f aca="false">MAX(0,B17-$D$5)</f>
        <v>28526.67</v>
      </c>
      <c r="D17" s="19" t="n">
        <f aca="false">MAX(0,B17-$D$7)</f>
        <v>12678.52</v>
      </c>
    </row>
    <row r="18" customFormat="false" ht="15" hidden="false" customHeight="true" outlineLevel="0" collapsed="false">
      <c r="A18" s="6" t="s">
        <v>65</v>
      </c>
      <c r="B18" s="19" t="n">
        <f aca="false">Assumptions!$B$28*0.1+Assumptions!$B$28*Assumptions!$B$10</f>
        <v>79240.75</v>
      </c>
      <c r="C18" s="19" t="n">
        <f aca="false">MAX(0,B18-$D$5)</f>
        <v>60222.97</v>
      </c>
      <c r="D18" s="19" t="n">
        <f aca="false">MAX(0,B18-$D$7)</f>
        <v>44374.82</v>
      </c>
    </row>
    <row r="19" customFormat="false" ht="15" hidden="false" customHeight="true" outlineLevel="0" collapsed="false">
      <c r="A19" s="6" t="s">
        <v>66</v>
      </c>
      <c r="B19" s="19" t="n">
        <f aca="false">Assumptions!$B$28*0.2+Assumptions!$B$28*Assumptions!$B$10</f>
        <v>142633.35</v>
      </c>
      <c r="C19" s="19" t="n">
        <f aca="false">MAX(0,B19-$D$5)</f>
        <v>123615.57</v>
      </c>
      <c r="D19" s="19" t="n">
        <f aca="false">MAX(0,B19-$D$7)</f>
        <v>107767.42</v>
      </c>
    </row>
    <row r="21" customFormat="false" ht="15" hidden="false" customHeight="true" outlineLevel="0" collapsed="false">
      <c r="A21" s="21" t="s">
        <v>94</v>
      </c>
      <c r="B21" s="21"/>
      <c r="C21" s="21"/>
      <c r="D21" s="21"/>
      <c r="E21" s="21"/>
      <c r="F21" s="21"/>
    </row>
  </sheetData>
  <mergeCells count="1"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6" min="2" style="1" width="18"/>
  </cols>
  <sheetData>
    <row r="1" customFormat="false" ht="17.25" hidden="false" customHeight="true" outlineLevel="0" collapsed="false">
      <c r="A1" s="2" t="s">
        <v>95</v>
      </c>
    </row>
    <row r="2" customFormat="false" ht="15" hidden="false" customHeight="true" outlineLevel="0" collapsed="false">
      <c r="A2" s="3" t="s">
        <v>96</v>
      </c>
    </row>
    <row r="4" customFormat="false" ht="15" hidden="false" customHeight="true" outlineLevel="0" collapsed="false">
      <c r="A4" s="18" t="s">
        <v>97</v>
      </c>
    </row>
    <row r="5" customFormat="false" ht="30" hidden="false" customHeight="true" outlineLevel="0" collapsed="false">
      <c r="A5" s="14" t="s">
        <v>98</v>
      </c>
      <c r="B5" s="14" t="s">
        <v>99</v>
      </c>
      <c r="C5" s="14" t="s">
        <v>100</v>
      </c>
      <c r="D5" s="14" t="s">
        <v>101</v>
      </c>
      <c r="E5" s="14"/>
      <c r="F5" s="14"/>
    </row>
    <row r="6" customFormat="false" ht="15" hidden="false" customHeight="true" outlineLevel="0" collapsed="false">
      <c r="A6" s="10" t="n">
        <v>0.3</v>
      </c>
      <c r="B6" s="19" t="n">
        <f aca="false">(Assumptions!$B$16*A6/12-Assumptions!$B$9)/(0.97*(-PMT(Assumptions!$B$5/12,Assumptions!$B$6,1))+Assumptions!$B$8/12+0.97*Assumptions!$B$19/12)</f>
        <v>382562.040331735</v>
      </c>
      <c r="C6" s="19" t="n">
        <f aca="false">(Assumptions!$B$15*A6/12-Assumptions!$B$9)/(0.97*(-PMT(Assumptions!$B$5/12,Assumptions!$B$6,1))+Assumptions!$B$8/12+0.97*Assumptions!$B$19/12)</f>
        <v>306951.54670232</v>
      </c>
      <c r="D6" s="19" t="n">
        <f aca="false">(Assumptions!$B$14*A6/12-Assumptions!$B$9)/(0.97*(-PMT(Assumptions!$B$5/12,Assumptions!$B$6,1))+Assumptions!$B$8/12+0.97*Assumptions!$B$19/12)</f>
        <v>232393.286582657</v>
      </c>
    </row>
    <row r="7" customFormat="false" ht="15" hidden="false" customHeight="true" outlineLevel="0" collapsed="false">
      <c r="A7" s="10" t="n">
        <v>0.33</v>
      </c>
      <c r="B7" s="19" t="n">
        <f aca="false">(Assumptions!$B$16*A7/12-Assumptions!$B$9)/(0.97*(-PMT(Assumptions!$B$5/12,Assumptions!$B$6,1))+Assumptions!$B$8/12+0.97*Assumptions!$B$19/12)</f>
        <v>422622.073238772</v>
      </c>
      <c r="C7" s="19" t="n">
        <f aca="false">(Assumptions!$B$15*A7/12-Assumptions!$B$9)/(0.97*(-PMT(Assumptions!$B$5/12,Assumptions!$B$6,1))+Assumptions!$B$8/12+0.97*Assumptions!$B$19/12)</f>
        <v>339450.530246415</v>
      </c>
      <c r="D7" s="19" t="n">
        <f aca="false">(Assumptions!$B$14*A7/12-Assumptions!$B$9)/(0.97*(-PMT(Assumptions!$B$5/12,Assumptions!$B$6,1))+Assumptions!$B$8/12+0.97*Assumptions!$B$19/12)</f>
        <v>257436.444114786</v>
      </c>
    </row>
    <row r="8" customFormat="false" ht="15" hidden="false" customHeight="true" outlineLevel="0" collapsed="false">
      <c r="A8" s="10" t="n">
        <v>0.36</v>
      </c>
      <c r="B8" s="19" t="n">
        <f aca="false">(Assumptions!$B$16*A8/12-Assumptions!$B$9)/(0.97*(-PMT(Assumptions!$B$5/12,Assumptions!$B$6,1))+Assumptions!$B$8/12+0.97*Assumptions!$B$19/12)</f>
        <v>462682.106145808</v>
      </c>
      <c r="C8" s="19" t="n">
        <f aca="false">(Assumptions!$B$15*A8/12-Assumptions!$B$9)/(0.97*(-PMT(Assumptions!$B$5/12,Assumptions!$B$6,1))+Assumptions!$B$8/12+0.97*Assumptions!$B$19/12)</f>
        <v>371949.513790509</v>
      </c>
      <c r="D8" s="19" t="n">
        <f aca="false">(Assumptions!$B$14*A8/12-Assumptions!$B$9)/(0.97*(-PMT(Assumptions!$B$5/12,Assumptions!$B$6,1))+Assumptions!$B$8/12+0.97*Assumptions!$B$19/12)</f>
        <v>282479.601646914</v>
      </c>
    </row>
    <row r="11" customFormat="false" ht="15" hidden="false" customHeight="true" outlineLevel="0" collapsed="false">
      <c r="A11" s="18" t="s">
        <v>102</v>
      </c>
    </row>
    <row r="12" customFormat="false" ht="30" hidden="false" customHeight="true" outlineLevel="0" collapsed="false">
      <c r="A12" s="14" t="s">
        <v>103</v>
      </c>
      <c r="B12" s="14" t="s">
        <v>104</v>
      </c>
      <c r="C12" s="14" t="s">
        <v>105</v>
      </c>
      <c r="D12" s="14" t="s">
        <v>106</v>
      </c>
      <c r="E12" s="14"/>
      <c r="F12" s="14"/>
    </row>
    <row r="13" customFormat="false" ht="15" hidden="false" customHeight="true" outlineLevel="0" collapsed="false">
      <c r="A13" s="6" t="s">
        <v>107</v>
      </c>
      <c r="B13" s="7" t="n">
        <v>0.0058</v>
      </c>
      <c r="C13" s="19" t="n">
        <f aca="false">Assumptions!$B$28*0.97*B13/12</f>
        <v>297.205639666667</v>
      </c>
      <c r="D13" s="19" t="n">
        <f aca="false">C13*120</f>
        <v>35664.67676</v>
      </c>
    </row>
    <row r="14" customFormat="false" ht="15" hidden="false" customHeight="true" outlineLevel="0" collapsed="false">
      <c r="A14" s="6" t="s">
        <v>108</v>
      </c>
      <c r="B14" s="7" t="n">
        <v>0.0099</v>
      </c>
      <c r="C14" s="19" t="n">
        <f aca="false">Assumptions!$B$28*0.97*B14/12</f>
        <v>507.2992815</v>
      </c>
      <c r="D14" s="19" t="n">
        <f aca="false">C14*120</f>
        <v>60875.91378</v>
      </c>
    </row>
    <row r="15" customFormat="false" ht="15" hidden="false" customHeight="true" outlineLevel="0" collapsed="false">
      <c r="A15" s="6" t="s">
        <v>109</v>
      </c>
      <c r="B15" s="7" t="n">
        <v>0.0121</v>
      </c>
      <c r="C15" s="19" t="n">
        <f aca="false">Assumptions!$B$28*0.97*B15/12</f>
        <v>620.032455166667</v>
      </c>
      <c r="D15" s="19" t="n">
        <f aca="false">C15*120</f>
        <v>74403.89462</v>
      </c>
    </row>
    <row r="16" customFormat="false" ht="15" hidden="false" customHeight="true" outlineLevel="0" collapsed="false">
      <c r="A16" s="6" t="s">
        <v>110</v>
      </c>
      <c r="B16" s="7" t="n">
        <v>0.0165</v>
      </c>
      <c r="C16" s="19" t="n">
        <f aca="false">Assumptions!$B$28*0.97*B16/12</f>
        <v>845.4988025</v>
      </c>
      <c r="D16" s="19" t="n">
        <f aca="false">C16*120</f>
        <v>101459.8563</v>
      </c>
    </row>
    <row r="18" customFormat="false" ht="15" hidden="false" customHeight="true" outlineLevel="0" collapsed="false">
      <c r="A18" s="8" t="s">
        <v>111</v>
      </c>
    </row>
    <row r="20" customFormat="false" ht="15" hidden="false" customHeight="true" outlineLevel="0" collapsed="false">
      <c r="A20" s="18" t="s">
        <v>112</v>
      </c>
    </row>
    <row r="21" customFormat="false" ht="30" hidden="false" customHeight="true" outlineLevel="0" collapsed="false">
      <c r="A21" s="14" t="s">
        <v>113</v>
      </c>
      <c r="B21" s="14" t="s">
        <v>114</v>
      </c>
      <c r="C21" s="14"/>
      <c r="D21" s="14"/>
      <c r="E21" s="14"/>
      <c r="F21" s="14"/>
    </row>
    <row r="22" customFormat="false" ht="15" hidden="false" customHeight="true" outlineLevel="0" collapsed="false">
      <c r="A22" s="7" t="n">
        <v>0.0671</v>
      </c>
      <c r="B22" s="19" t="n">
        <f aca="false">(Assumptions!$B$16*Assumptions!$B$7/12-Assumptions!$B$9)/(0.97*(-PMT(A22/12,Assumptions!$B$6,1))+Assumptions!$B$8/12+0.97*Assumptions!$B$19/12)</f>
        <v>389840.819325754</v>
      </c>
      <c r="C22" s="8" t="s">
        <v>115</v>
      </c>
    </row>
    <row r="23" customFormat="false" ht="15" hidden="false" customHeight="true" outlineLevel="0" collapsed="false">
      <c r="A23" s="7" t="n">
        <v>0.0695</v>
      </c>
      <c r="B23" s="19" t="n">
        <f aca="false">(Assumptions!$B$16*Assumptions!$B$7/12-Assumptions!$B$9)/(0.97*(-PMT(A23/12,Assumptions!$B$6,1))+Assumptions!$B$8/12+0.97*Assumptions!$B$19/12)</f>
        <v>382562.040331735</v>
      </c>
      <c r="C23" s="8" t="s">
        <v>116</v>
      </c>
    </row>
    <row r="24" customFormat="false" ht="15" hidden="false" customHeight="true" outlineLevel="0" collapsed="false">
      <c r="A24" s="18" t="s">
        <v>117</v>
      </c>
      <c r="B24" s="20" t="n">
        <f aca="false">B22-B23</f>
        <v>7278.77899401804</v>
      </c>
    </row>
    <row r="25" customFormat="false" ht="15" hidden="false" customHeight="true" outlineLevel="0" collapsed="false">
      <c r="A25" s="21" t="s">
        <v>118</v>
      </c>
      <c r="B25" s="21"/>
      <c r="C25" s="21"/>
      <c r="D25" s="21"/>
    </row>
  </sheetData>
  <mergeCells count="1"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2026-09-21T18:42:20Z</dcterms:created>
  <dc:creator>openpyxl</dc:creator>
  <dc:description/>
  <dc:language>en-US</dc:language>
  <cp:lastModifiedBy/>
  <dcterms:modified xsi:type="dcterms:W3CDTF">2026-10-03T01:35:37Z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