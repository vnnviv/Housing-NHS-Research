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ivia\Downloads\"/>
    </mc:Choice>
  </mc:AlternateContent>
  <xr:revisionPtr revIDLastSave="0" documentId="13_ncr:1_{283C6605-4C6C-4639-B62A-B31BABB99290}" xr6:coauthVersionLast="47" xr6:coauthVersionMax="47" xr10:uidLastSave="{00000000-0000-0000-0000-000000000000}"/>
  <bookViews>
    <workbookView xWindow="-108" yWindow="-108" windowWidth="23256" windowHeight="13896" tabRatio="500" firstSheet="1" activeTab="5" xr2:uid="{00000000-000D-0000-FFFF-FFFF00000000}"/>
  </bookViews>
  <sheets>
    <sheet name="Assumptions" sheetId="1" r:id="rId1"/>
    <sheet name="Purchasing Power" sheetId="2" r:id="rId2"/>
    <sheet name="Cost to Buy" sheetId="3" r:id="rId3"/>
    <sheet name="Assistance" sheetId="4" r:id="rId4"/>
    <sheet name="Sensitivity" sheetId="5" r:id="rId5"/>
    <sheet name="Credit Profile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3" l="1"/>
  <c r="B14" i="3"/>
  <c r="E30" i="6"/>
  <c r="D30" i="6"/>
  <c r="C30" i="6"/>
  <c r="B30" i="6"/>
  <c r="D26" i="6"/>
  <c r="E22" i="6"/>
  <c r="D22" i="6"/>
  <c r="C22" i="6"/>
  <c r="B22" i="6"/>
  <c r="D18" i="6"/>
  <c r="C18" i="6"/>
  <c r="B18" i="6"/>
  <c r="D17" i="6"/>
  <c r="C17" i="6"/>
  <c r="B17" i="6"/>
  <c r="E14" i="6"/>
  <c r="D14" i="6"/>
  <c r="C14" i="6"/>
  <c r="B14" i="6"/>
  <c r="E10" i="6"/>
  <c r="E19" i="6" s="1"/>
  <c r="D10" i="6"/>
  <c r="C10" i="6"/>
  <c r="B10" i="6"/>
  <c r="E9" i="6"/>
  <c r="E8" i="6"/>
  <c r="E17" i="6" s="1"/>
  <c r="E7" i="6"/>
  <c r="E16" i="6" s="1"/>
  <c r="E6" i="6"/>
  <c r="B23" i="5"/>
  <c r="B22" i="5"/>
  <c r="C16" i="5"/>
  <c r="D16" i="5" s="1"/>
  <c r="C15" i="5"/>
  <c r="D15" i="5" s="1"/>
  <c r="C14" i="5"/>
  <c r="D14" i="5" s="1"/>
  <c r="C13" i="5"/>
  <c r="D13" i="5" s="1"/>
  <c r="D8" i="5"/>
  <c r="C8" i="5"/>
  <c r="B8" i="5"/>
  <c r="D7" i="5"/>
  <c r="C7" i="5"/>
  <c r="B7" i="5"/>
  <c r="D6" i="5"/>
  <c r="C6" i="5"/>
  <c r="B6" i="5"/>
  <c r="B29" i="4"/>
  <c r="B28" i="4"/>
  <c r="B27" i="4"/>
  <c r="B26" i="4"/>
  <c r="B25" i="4"/>
  <c r="B19" i="4"/>
  <c r="B18" i="4"/>
  <c r="B17" i="4"/>
  <c r="B16" i="4"/>
  <c r="B15" i="4"/>
  <c r="D9" i="4"/>
  <c r="D8" i="4"/>
  <c r="D7" i="4"/>
  <c r="D6" i="4"/>
  <c r="D5" i="4"/>
  <c r="C20" i="3"/>
  <c r="B20" i="3"/>
  <c r="C19" i="3"/>
  <c r="B19" i="3"/>
  <c r="C18" i="3"/>
  <c r="B18" i="3"/>
  <c r="C17" i="3"/>
  <c r="B17" i="3"/>
  <c r="C16" i="3"/>
  <c r="B16" i="3"/>
  <c r="C10" i="3"/>
  <c r="B10" i="3"/>
  <c r="C9" i="3"/>
  <c r="B9" i="3"/>
  <c r="C8" i="3"/>
  <c r="B8" i="3"/>
  <c r="C7" i="3"/>
  <c r="B7" i="3"/>
  <c r="C6" i="3"/>
  <c r="B6" i="3"/>
  <c r="B4" i="3"/>
  <c r="B17" i="2"/>
  <c r="B12" i="2"/>
  <c r="F7" i="2"/>
  <c r="E7" i="2"/>
  <c r="D7" i="2"/>
  <c r="C7" i="2"/>
  <c r="B7" i="2"/>
  <c r="F6" i="2"/>
  <c r="E6" i="2"/>
  <c r="D6" i="2"/>
  <c r="C6" i="2"/>
  <c r="B6" i="2"/>
  <c r="B24" i="5" l="1"/>
  <c r="D20" i="3"/>
  <c r="E20" i="3" s="1"/>
  <c r="F20" i="3"/>
  <c r="E15" i="6"/>
  <c r="C27" i="6"/>
  <c r="C19" i="6"/>
  <c r="B27" i="6"/>
  <c r="B19" i="6"/>
  <c r="E26" i="6"/>
  <c r="E18" i="6"/>
  <c r="D9" i="3"/>
  <c r="E9" i="3" s="1"/>
  <c r="F9" i="3"/>
  <c r="D27" i="6"/>
  <c r="D19" i="6"/>
  <c r="E35" i="6"/>
  <c r="E34" i="6"/>
  <c r="E32" i="6"/>
  <c r="E33" i="6"/>
  <c r="E31" i="6"/>
  <c r="D35" i="6"/>
  <c r="D34" i="6"/>
  <c r="D33" i="6"/>
  <c r="D32" i="6"/>
  <c r="D31" i="6"/>
  <c r="C35" i="6"/>
  <c r="C33" i="6"/>
  <c r="C34" i="6"/>
  <c r="C32" i="6"/>
  <c r="C31" i="6"/>
  <c r="B35" i="6"/>
  <c r="B34" i="6"/>
  <c r="B33" i="6"/>
  <c r="B32" i="6"/>
  <c r="B31" i="6"/>
  <c r="E27" i="6"/>
  <c r="E25" i="6"/>
  <c r="E23" i="6"/>
  <c r="E24" i="6"/>
  <c r="D23" i="6"/>
  <c r="D25" i="6"/>
  <c r="D24" i="6"/>
  <c r="C25" i="6"/>
  <c r="C24" i="6"/>
  <c r="C26" i="6"/>
  <c r="C23" i="6"/>
  <c r="B26" i="6"/>
  <c r="B24" i="6"/>
  <c r="B25" i="6"/>
  <c r="B23" i="6"/>
  <c r="D16" i="6"/>
  <c r="D15" i="6"/>
  <c r="C16" i="6"/>
  <c r="C15" i="6"/>
  <c r="B16" i="6"/>
  <c r="B15" i="6"/>
  <c r="C29" i="4"/>
  <c r="D29" i="4"/>
  <c r="C28" i="4"/>
  <c r="D28" i="4"/>
  <c r="D27" i="4"/>
  <c r="C27" i="4"/>
  <c r="D26" i="4"/>
  <c r="C26" i="4"/>
  <c r="D25" i="4"/>
  <c r="C25" i="4"/>
  <c r="D19" i="4"/>
  <c r="C19" i="4"/>
  <c r="D18" i="4"/>
  <c r="C18" i="4"/>
  <c r="D17" i="4"/>
  <c r="C17" i="4"/>
  <c r="D16" i="4"/>
  <c r="C16" i="4"/>
  <c r="D15" i="4"/>
  <c r="C15" i="4"/>
  <c r="F19" i="3"/>
  <c r="D19" i="3"/>
  <c r="E19" i="3" s="1"/>
  <c r="F18" i="3"/>
  <c r="D18" i="3"/>
  <c r="E18" i="3" s="1"/>
  <c r="F17" i="3"/>
  <c r="D17" i="3"/>
  <c r="E17" i="3" s="1"/>
  <c r="F16" i="3"/>
  <c r="D16" i="3"/>
  <c r="E16" i="3" s="1"/>
  <c r="D10" i="3"/>
  <c r="E10" i="3" s="1"/>
  <c r="F8" i="3"/>
  <c r="D8" i="3"/>
  <c r="E8" i="3" s="1"/>
  <c r="F7" i="3"/>
  <c r="D7" i="3"/>
  <c r="E7" i="3" s="1"/>
  <c r="D6" i="3"/>
  <c r="E6" i="3" s="1"/>
  <c r="F6" i="3"/>
  <c r="F11" i="2"/>
  <c r="F10" i="2"/>
  <c r="F9" i="2"/>
  <c r="E11" i="2"/>
  <c r="E10" i="2"/>
  <c r="E9" i="2"/>
  <c r="D11" i="2"/>
  <c r="D10" i="2"/>
  <c r="D9" i="2"/>
  <c r="C11" i="2"/>
  <c r="C10" i="2"/>
  <c r="C9" i="2"/>
  <c r="B11" i="2"/>
  <c r="B10" i="2"/>
  <c r="B9" i="2"/>
  <c r="F15" i="2" l="1"/>
  <c r="F20" i="2"/>
  <c r="F14" i="2"/>
  <c r="F19" i="2"/>
  <c r="F13" i="2"/>
  <c r="F18" i="2"/>
  <c r="E15" i="2"/>
  <c r="E20" i="2"/>
  <c r="E14" i="2"/>
  <c r="E19" i="2"/>
  <c r="E13" i="2"/>
  <c r="E18" i="2"/>
  <c r="D15" i="2"/>
  <c r="D20" i="2"/>
  <c r="D14" i="2"/>
  <c r="D19" i="2"/>
  <c r="D13" i="2"/>
  <c r="D18" i="2"/>
  <c r="C15" i="2"/>
  <c r="C20" i="2"/>
  <c r="C14" i="2"/>
  <c r="C19" i="2"/>
  <c r="C13" i="2"/>
  <c r="C18" i="2"/>
  <c r="B15" i="2"/>
  <c r="B20" i="2"/>
  <c r="B14" i="2"/>
  <c r="B19" i="2"/>
  <c r="B13" i="2"/>
  <c r="B18" i="2"/>
</calcChain>
</file>

<file path=xl/sharedStrings.xml><?xml version="1.0" encoding="utf-8"?>
<sst xmlns="http://schemas.openxmlformats.org/spreadsheetml/2006/main" count="202" uniqueCount="132">
  <si>
    <t>Assumptions and Sources</t>
  </si>
  <si>
    <t>Financing</t>
  </si>
  <si>
    <t>30-year fixed rate</t>
  </si>
  <si>
    <t>Freddie Mac PMMS, released 2026-09-17</t>
  </si>
  <si>
    <t>Loan term (months)</t>
  </si>
  <si>
    <t>Standard 30-year term</t>
  </si>
  <si>
    <t>Housing DTI (front-end)</t>
  </si>
  <si>
    <t>Per Sept 2026 NHS concept note</t>
  </si>
  <si>
    <t>Property tax rate</t>
  </si>
  <si>
    <t>Insurance (per month)</t>
  </si>
  <si>
    <t>Closing costs (% of price)</t>
  </si>
  <si>
    <t>Estimate. Replace with NHS observed closing costs if available.</t>
  </si>
  <si>
    <t>FHA upfront MIP (financed)</t>
  </si>
  <si>
    <t>HUD, 2026</t>
  </si>
  <si>
    <t>LA County income limits, 4-person household</t>
  </si>
  <si>
    <t>Very low income</t>
  </si>
  <si>
    <t>HCD/HUD LA County, effective 2026-06-23</t>
  </si>
  <si>
    <t>Area median income</t>
  </si>
  <si>
    <t>Lower income (= moderate)</t>
  </si>
  <si>
    <t>HCD/HUD LA County. Lower and moderate limits are equal in 2026.</t>
  </si>
  <si>
    <t>Mortgage insurance, annual % of loan balance</t>
  </si>
  <si>
    <t>97% LTV (3% down)</t>
  </si>
  <si>
    <t>Enact HFA rate card (effective 2018-06-04), 680-699 FICO baseline</t>
  </si>
  <si>
    <t>95% LTV (5% down)</t>
  </si>
  <si>
    <t>90% LTV (10% down)</t>
  </si>
  <si>
    <t>80% LTV (20% down)</t>
  </si>
  <si>
    <t>No mortgage insurance at 20% down</t>
  </si>
  <si>
    <t>FHA annual MIP</t>
  </si>
  <si>
    <t>HUD 2026, above 95% LTV. Continues for life of loan when down payment is under 10%.</t>
  </si>
  <si>
    <t>Compton price benchmark: Assessor base-year assessed values, 2025-26 transfers (proxy for sale price)</t>
  </si>
  <si>
    <t>10th percentile</t>
  </si>
  <si>
    <t>LA County Assessor roll, pulled 2026-09-18</t>
  </si>
  <si>
    <t>25th percentile</t>
  </si>
  <si>
    <t>Median</t>
  </si>
  <si>
    <t>75th percentile</t>
  </si>
  <si>
    <t>90th percentile</t>
  </si>
  <si>
    <t>Parcels in sample</t>
  </si>
  <si>
    <t>Single-family, land and improvement base year both 2025 or 2026. Excludes 14 transfers under $200k.</t>
  </si>
  <si>
    <t>Percentile method: exclusive (Excel PERCENTILE.EXC) on the 746 retained parcels. The inclusive method gives a 25th percentile of about $559,985.</t>
  </si>
  <si>
    <t>Purchasing Power by Income Tier</t>
  </si>
  <si>
    <t>Maximum purchase price at the stated housing DTI. Includes principal, interest, property tax, insurance and mortgage insurance.</t>
  </si>
  <si>
    <t>Income tier</t>
  </si>
  <si>
    <t>3% down
(conventional 97)</t>
  </si>
  <si>
    <t>3.5% down
(FHA)</t>
  </si>
  <si>
    <t>5% down
(conventional 95)</t>
  </si>
  <si>
    <t>10% down
(conventional 90)</t>
  </si>
  <si>
    <t>20% down
(conventional 80)</t>
  </si>
  <si>
    <t>Down payment %</t>
  </si>
  <si>
    <t>Mortgage insurance rate</t>
  </si>
  <si>
    <t>Loan per $1 of price</t>
  </si>
  <si>
    <t>Maximum purchase price</t>
  </si>
  <si>
    <t>Gap to Compton median price (assessed-value proxy)</t>
  </si>
  <si>
    <t>Gap to Compton 25th-percentile price (assessed-value proxy)</t>
  </si>
  <si>
    <t>Cost to Purchase</t>
  </si>
  <si>
    <t>Cash required, monthly cost and qualifying income at two price points.</t>
  </si>
  <si>
    <t>At the median price (assessed-value proxy)</t>
  </si>
  <si>
    <t>Down payment</t>
  </si>
  <si>
    <t>Cash needed
(down + closing)</t>
  </si>
  <si>
    <t>Loan amount</t>
  </si>
  <si>
    <t>Monthly PITI + MI</t>
  </si>
  <si>
    <t>Income required</t>
  </si>
  <si>
    <t>Monthly MI portion</t>
  </si>
  <si>
    <t>3% down (conventional 97)</t>
  </si>
  <si>
    <t>3.5% down (FHA)</t>
  </si>
  <si>
    <t>5% down (conventional 95)</t>
  </si>
  <si>
    <t>10% down (conventional 90)</t>
  </si>
  <si>
    <t>20% down (conventional 80)</t>
  </si>
  <si>
    <t>At the 25th-percentile price (assessed-value proxy)</t>
  </si>
  <si>
    <t>FHA mortgage insurance continues for the life of the loan when the down payment is under 10%.</t>
  </si>
  <si>
    <t>Down Payment Assistance Programs</t>
  </si>
  <si>
    <t>Verified September 2026. Amounts shown against Compton median price (assessed-value proxy).</t>
  </si>
  <si>
    <t>Program</t>
  </si>
  <si>
    <t>% of price</t>
  </si>
  <si>
    <t>Cap</t>
  </si>
  <si>
    <t>Amount available</t>
  </si>
  <si>
    <t>Available to a Compton buyer?</t>
  </si>
  <si>
    <t>Structure</t>
  </si>
  <si>
    <t>CalHFA MyHome (conventional)</t>
  </si>
  <si>
    <t>none</t>
  </si>
  <si>
    <t>Yes</t>
  </si>
  <si>
    <t>Deferred payment junior loan. Repayable, not a grant.</t>
  </si>
  <si>
    <t>CalHFA MyHome (FHA)</t>
  </si>
  <si>
    <t>GSFA Platinum</t>
  </si>
  <si>
    <t>Gift plus second mortgage. No first-time buyer requirement.</t>
  </si>
  <si>
    <t>LACDA HOP80</t>
  </si>
  <si>
    <t>No. Compton is not a participating city.</t>
  </si>
  <si>
    <t>0% deferred second with shared equity. Maximum purchase price $700,000.</t>
  </si>
  <si>
    <t>CalHFA Dream For All</t>
  </si>
  <si>
    <t>No. Application window closed 2026-03-16.</t>
  </si>
  <si>
    <t>Shared appreciation loan. First-generation buyer requirement.</t>
  </si>
  <si>
    <t>Cash required after assistance, at median price</t>
  </si>
  <si>
    <t>Cash needed</t>
  </si>
  <si>
    <t>After CalHFA MyHome</t>
  </si>
  <si>
    <t>After GSFA Platinum</t>
  </si>
  <si>
    <t>MyHome and GSFA Platinum attach to different first mortgages. They are alternatives, not additive. Confirm pairing rules with a participating lender.</t>
  </si>
  <si>
    <t>Cash required after assistance, at 25th-percentile price</t>
  </si>
  <si>
    <t>Assistance is modeled as the same percent of price as in the table above, applied to the 25th-percentile price. Program terms remain placeholders until confirmed.</t>
  </si>
  <si>
    <t>Sensitivity</t>
  </si>
  <si>
    <t>Tested at 3% down.</t>
  </si>
  <si>
    <t>Housing DTI</t>
  </si>
  <si>
    <t>Front-end DTI</t>
  </si>
  <si>
    <t>Lower-income tier</t>
  </si>
  <si>
    <t>AMI tier</t>
  </si>
  <si>
    <t>Very low income tier</t>
  </si>
  <si>
    <t>Credit score, mortgage insurance pricing at 97% LTV</t>
  </si>
  <si>
    <t>FICO band</t>
  </si>
  <si>
    <t>PMI rate</t>
  </si>
  <si>
    <t>Monthly MI at median price</t>
  </si>
  <si>
    <t>Cost over 10 years</t>
  </si>
  <si>
    <t>760+</t>
  </si>
  <si>
    <t>700-719</t>
  </si>
  <si>
    <t>680-699 (used above)</t>
  </si>
  <si>
    <t>640-659</t>
  </si>
  <si>
    <t>Source: Enact HFA rate card (effective 2018-06-04), fixed term over 20 years.</t>
  </si>
  <si>
    <t>Interest rate</t>
  </si>
  <si>
    <t>Rate</t>
  </si>
  <si>
    <t>Lower-income tier max price</t>
  </si>
  <si>
    <t>Concept note, 2026-09-03</t>
  </si>
  <si>
    <t>Current, 2026-09-17</t>
  </si>
  <si>
    <t>Difference</t>
  </si>
  <si>
    <t>Figures shared externally should carry the rate date.</t>
  </si>
  <si>
    <t>Credit Profiles</t>
  </si>
  <si>
    <t>Income required and purchasing power by credit score band and down payment, conventional loans with borrower-paid monthly mortgage insurance. 680-699 is the qualifying baseline used on the other sheets; higher bands are shown for comparison.</t>
  </si>
  <si>
    <t>Mortgage insurance rate, annual % of loan balance</t>
  </si>
  <si>
    <t>740-759</t>
  </si>
  <si>
    <t>720-739</t>
  </si>
  <si>
    <t>680-699 (baseline)</t>
  </si>
  <si>
    <t>Source: Enact HFA rate card (effective 2018-06-04), fixed term over 20 years, 97/95/90% LTV bands. 20% down carries no mortgage insurance.</t>
  </si>
  <si>
    <t>Income required: Compton median price (assessed-value proxy)</t>
  </si>
  <si>
    <t>Income required: Compton 25th-percentile price (assessed-value proxy)</t>
  </si>
  <si>
    <t>Maximum purchase price: lower-income tier (4-person household)</t>
  </si>
  <si>
    <t>Cash needed to close does not vary with credit score; see Cost to Buy. FHA (3.5% down) is not shown because the model prices FHA mortgage insurance at a flat rate, not by credit band. Max price for the other income tiers at the 680 baseline is on Purchasing Power.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</si>
</sst>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&quot;($&quot;#,##0\);\-"/>
    <numFmt numFmtId="165" formatCode="0.0%"/>
    <numFmt numFmtId="166" formatCode="0.0000"/>
    <numFmt numFmtId="167" formatCode="0%&quot; down&quot;"/>
  </numFmts>
  <fonts count="1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9595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9"/>
      <color rgb="FF595959"/>
      <name val="Arial"/>
      <charset val="1"/>
    </font>
    <font>
      <i/>
      <sz val="10"/>
      <name val="Arial"/>
      <charset val="1"/>
    </font>
    <font>
      <b/>
      <sz val="10"/>
      <color rgb="FFFFFFFF"/>
      <name val="Arial"/>
      <charset val="1"/>
    </font>
    <font>
      <sz val="10"/>
      <color rgb="FFFF0000"/>
      <name val="Arial"/>
      <family val="2"/>
    </font>
    <font>
      <sz val="9"/>
      <color rgb="FF595959"/>
      <name val="Arial"/>
      <family val="2"/>
    </font>
    <font>
      <sz val="10"/>
      <color rgb="FF595959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rgb="FF333333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49998474074526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6" fillId="0" borderId="0" xfId="0" applyFont="1"/>
    <xf numFmtId="0" fontId="2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164" fontId="5" fillId="0" borderId="1" xfId="0" applyNumberFormat="1" applyFont="1" applyBorder="1"/>
    <xf numFmtId="165" fontId="5" fillId="0" borderId="1" xfId="0" applyNumberFormat="1" applyFont="1" applyBorder="1"/>
    <xf numFmtId="10" fontId="4" fillId="0" borderId="1" xfId="0" applyNumberFormat="1" applyFont="1" applyBorder="1"/>
    <xf numFmtId="166" fontId="4" fillId="0" borderId="1" xfId="0" applyNumberFormat="1" applyFont="1" applyBorder="1"/>
    <xf numFmtId="0" fontId="3" fillId="0" borderId="0" xfId="0" applyFont="1"/>
    <xf numFmtId="164" fontId="4" fillId="0" borderId="1" xfId="0" applyNumberFormat="1" applyFont="1" applyBorder="1"/>
    <xf numFmtId="164" fontId="3" fillId="0" borderId="0" xfId="0" applyNumberFormat="1" applyFont="1"/>
    <xf numFmtId="0" fontId="2" fillId="0" borderId="1" xfId="0" applyFont="1" applyBorder="1"/>
    <xf numFmtId="0" fontId="4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8" fillId="2" borderId="1" xfId="0" applyFont="1" applyFill="1" applyBorder="1" applyAlignment="1">
      <alignment horizontal="center" vertical="center" wrapText="1"/>
    </xf>
    <xf numFmtId="167" fontId="8" fillId="2" borderId="1" xfId="0" applyNumberFormat="1" applyFont="1" applyFill="1" applyBorder="1" applyAlignment="1">
      <alignment horizontal="center" vertical="center" wrapText="1"/>
    </xf>
    <xf numFmtId="0" fontId="0" fillId="3" borderId="0" xfId="0" applyFill="1"/>
    <xf numFmtId="0" fontId="3" fillId="4" borderId="0" xfId="0" applyFont="1" applyFill="1"/>
    <xf numFmtId="0" fontId="0" fillId="4" borderId="0" xfId="0" applyFill="1"/>
    <xf numFmtId="0" fontId="7" fillId="3" borderId="0" xfId="0" applyFont="1" applyFill="1"/>
    <xf numFmtId="165" fontId="9" fillId="0" borderId="1" xfId="0" applyNumberFormat="1" applyFont="1" applyBorder="1"/>
    <xf numFmtId="10" fontId="9" fillId="0" borderId="1" xfId="0" applyNumberFormat="1" applyFont="1" applyBorder="1"/>
    <xf numFmtId="1" fontId="9" fillId="0" borderId="1" xfId="0" applyNumberFormat="1" applyFont="1" applyBorder="1"/>
    <xf numFmtId="9" fontId="9" fillId="0" borderId="1" xfId="0" applyNumberFormat="1" applyFont="1" applyBorder="1"/>
    <xf numFmtId="164" fontId="9" fillId="0" borderId="1" xfId="0" applyNumberFormat="1" applyFont="1" applyBorder="1"/>
    <xf numFmtId="0" fontId="3" fillId="3" borderId="0" xfId="0" applyFont="1" applyFill="1"/>
    <xf numFmtId="0" fontId="10" fillId="0" borderId="0" xfId="0" applyFont="1"/>
    <xf numFmtId="0" fontId="0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/>
    <xf numFmtId="0" fontId="11" fillId="0" borderId="0" xfId="0" applyFont="1"/>
    <xf numFmtId="0" fontId="13" fillId="0" borderId="0" xfId="0" applyFont="1"/>
    <xf numFmtId="0" fontId="14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164" fontId="15" fillId="0" borderId="1" xfId="0" applyNumberFormat="1" applyFont="1" applyBorder="1"/>
    <xf numFmtId="0" fontId="15" fillId="0" borderId="0" xfId="0" applyFont="1"/>
    <xf numFmtId="0" fontId="10" fillId="0" borderId="0" xfId="0" applyFont="1"/>
    <xf numFmtId="164" fontId="1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showGridLines="0" zoomScale="114" zoomScaleNormal="100" workbookViewId="0">
      <selection activeCell="A21" sqref="A21"/>
    </sheetView>
  </sheetViews>
  <sheetFormatPr defaultColWidth="8.6640625" defaultRowHeight="14.4" x14ac:dyDescent="0.3"/>
  <cols>
    <col min="1" max="1" width="44" customWidth="1"/>
    <col min="2" max="2" width="14" customWidth="1"/>
    <col min="3" max="3" width="78" customWidth="1"/>
  </cols>
  <sheetData>
    <row r="1" spans="1:3" ht="17.25" customHeight="1" x14ac:dyDescent="0.3">
      <c r="A1" s="3" t="s">
        <v>0</v>
      </c>
    </row>
    <row r="2" spans="1:3" s="19" customFormat="1" ht="15" customHeight="1" x14ac:dyDescent="0.3">
      <c r="A2" s="20" t="s">
        <v>1</v>
      </c>
      <c r="B2" s="21"/>
      <c r="C2" s="21"/>
    </row>
    <row r="3" spans="1:3" ht="15" customHeight="1" x14ac:dyDescent="0.3">
      <c r="A3" s="5" t="s">
        <v>2</v>
      </c>
      <c r="B3" s="24">
        <v>6.9500000000000006E-2</v>
      </c>
      <c r="C3" s="6" t="s">
        <v>3</v>
      </c>
    </row>
    <row r="4" spans="1:3" ht="15" customHeight="1" x14ac:dyDescent="0.3">
      <c r="A4" s="5" t="s">
        <v>4</v>
      </c>
      <c r="B4" s="25">
        <v>360</v>
      </c>
      <c r="C4" s="6" t="s">
        <v>5</v>
      </c>
    </row>
    <row r="5" spans="1:3" ht="15" customHeight="1" x14ac:dyDescent="0.3">
      <c r="A5" s="5" t="s">
        <v>6</v>
      </c>
      <c r="B5" s="26">
        <v>0.3</v>
      </c>
      <c r="C5" s="6" t="s">
        <v>7</v>
      </c>
    </row>
    <row r="6" spans="1:3" ht="15" customHeight="1" x14ac:dyDescent="0.3">
      <c r="A6" s="5" t="s">
        <v>8</v>
      </c>
      <c r="B6" s="24">
        <v>1.0999999999999999E-2</v>
      </c>
      <c r="C6" s="6" t="s">
        <v>7</v>
      </c>
    </row>
    <row r="7" spans="1:3" ht="15" customHeight="1" x14ac:dyDescent="0.3">
      <c r="A7" s="5" t="s">
        <v>9</v>
      </c>
      <c r="B7" s="27">
        <v>150</v>
      </c>
      <c r="C7" s="6" t="s">
        <v>7</v>
      </c>
    </row>
    <row r="8" spans="1:3" ht="15" customHeight="1" x14ac:dyDescent="0.3">
      <c r="A8" s="5" t="s">
        <v>10</v>
      </c>
      <c r="B8" s="24">
        <v>2.5000000000000001E-2</v>
      </c>
      <c r="C8" s="6" t="s">
        <v>11</v>
      </c>
    </row>
    <row r="9" spans="1:3" ht="15" customHeight="1" x14ac:dyDescent="0.3">
      <c r="A9" s="5" t="s">
        <v>12</v>
      </c>
      <c r="B9" s="24">
        <v>1.7500000000000002E-2</v>
      </c>
      <c r="C9" s="6" t="s">
        <v>13</v>
      </c>
    </row>
    <row r="10" spans="1:3" s="19" customFormat="1" ht="15" customHeight="1" x14ac:dyDescent="0.3">
      <c r="A10" s="20" t="s">
        <v>14</v>
      </c>
      <c r="B10" s="21"/>
      <c r="C10" s="21"/>
    </row>
    <row r="11" spans="1:3" ht="15" customHeight="1" x14ac:dyDescent="0.3">
      <c r="A11" s="5" t="s">
        <v>15</v>
      </c>
      <c r="B11" s="27">
        <v>83300</v>
      </c>
      <c r="C11" s="6" t="s">
        <v>16</v>
      </c>
    </row>
    <row r="12" spans="1:3" ht="15" customHeight="1" x14ac:dyDescent="0.3">
      <c r="A12" s="5" t="s">
        <v>17</v>
      </c>
      <c r="B12" s="27">
        <v>108100</v>
      </c>
      <c r="C12" s="6" t="s">
        <v>16</v>
      </c>
    </row>
    <row r="13" spans="1:3" ht="15" customHeight="1" x14ac:dyDescent="0.3">
      <c r="A13" s="5" t="s">
        <v>18</v>
      </c>
      <c r="B13" s="27">
        <v>133250</v>
      </c>
      <c r="C13" s="6" t="s">
        <v>19</v>
      </c>
    </row>
    <row r="14" spans="1:3" s="19" customFormat="1" ht="15" customHeight="1" x14ac:dyDescent="0.3">
      <c r="A14" s="20" t="s">
        <v>20</v>
      </c>
      <c r="B14" s="21"/>
      <c r="C14" s="21"/>
    </row>
    <row r="15" spans="1:3" ht="15" customHeight="1" x14ac:dyDescent="0.3">
      <c r="A15" s="5" t="s">
        <v>21</v>
      </c>
      <c r="B15" s="24">
        <v>1.21E-2</v>
      </c>
      <c r="C15" s="6" t="s">
        <v>22</v>
      </c>
    </row>
    <row r="16" spans="1:3" ht="15" customHeight="1" x14ac:dyDescent="0.3">
      <c r="A16" s="5" t="s">
        <v>23</v>
      </c>
      <c r="B16" s="24">
        <v>9.5999999999999992E-3</v>
      </c>
      <c r="C16" s="6" t="s">
        <v>22</v>
      </c>
    </row>
    <row r="17" spans="1:3" ht="15" customHeight="1" x14ac:dyDescent="0.3">
      <c r="A17" s="5" t="s">
        <v>24</v>
      </c>
      <c r="B17" s="24">
        <v>6.4999999999999997E-3</v>
      </c>
      <c r="C17" s="6" t="s">
        <v>22</v>
      </c>
    </row>
    <row r="18" spans="1:3" ht="15" customHeight="1" x14ac:dyDescent="0.3">
      <c r="A18" s="5" t="s">
        <v>25</v>
      </c>
      <c r="B18" s="24">
        <v>0</v>
      </c>
      <c r="C18" s="6" t="s">
        <v>26</v>
      </c>
    </row>
    <row r="19" spans="1:3" ht="15" customHeight="1" x14ac:dyDescent="0.3">
      <c r="A19" s="5" t="s">
        <v>27</v>
      </c>
      <c r="B19" s="24">
        <v>5.4999999999999997E-3</v>
      </c>
      <c r="C19" s="6" t="s">
        <v>28</v>
      </c>
    </row>
    <row r="20" spans="1:3" s="19" customFormat="1" ht="15" customHeight="1" x14ac:dyDescent="0.3">
      <c r="A20" s="20" t="s">
        <v>29</v>
      </c>
      <c r="B20" s="21"/>
      <c r="C20" s="21"/>
    </row>
    <row r="21" spans="1:3" ht="15" customHeight="1" x14ac:dyDescent="0.3">
      <c r="A21" s="5" t="s">
        <v>30</v>
      </c>
      <c r="B21" s="27">
        <v>470766</v>
      </c>
      <c r="C21" s="6" t="s">
        <v>31</v>
      </c>
    </row>
    <row r="22" spans="1:3" ht="15" customHeight="1" x14ac:dyDescent="0.3">
      <c r="A22" s="5" t="s">
        <v>32</v>
      </c>
      <c r="B22" s="27">
        <v>559482</v>
      </c>
      <c r="C22" s="6" t="s">
        <v>31</v>
      </c>
    </row>
    <row r="23" spans="1:3" ht="15" customHeight="1" x14ac:dyDescent="0.3">
      <c r="A23" s="5" t="s">
        <v>33</v>
      </c>
      <c r="B23" s="27">
        <v>633926</v>
      </c>
      <c r="C23" s="6" t="s">
        <v>31</v>
      </c>
    </row>
    <row r="24" spans="1:3" ht="15" customHeight="1" x14ac:dyDescent="0.3">
      <c r="A24" s="5" t="s">
        <v>34</v>
      </c>
      <c r="B24" s="27">
        <v>693600</v>
      </c>
      <c r="C24" s="6" t="s">
        <v>31</v>
      </c>
    </row>
    <row r="25" spans="1:3" ht="15" customHeight="1" x14ac:dyDescent="0.3">
      <c r="A25" s="5" t="s">
        <v>35</v>
      </c>
      <c r="B25" s="27">
        <v>754086</v>
      </c>
      <c r="C25" s="6" t="s">
        <v>31</v>
      </c>
    </row>
    <row r="26" spans="1:3" ht="15" customHeight="1" x14ac:dyDescent="0.3">
      <c r="A26" s="5" t="s">
        <v>36</v>
      </c>
      <c r="B26" s="25">
        <v>746</v>
      </c>
      <c r="C26" s="6" t="s">
        <v>37</v>
      </c>
    </row>
    <row r="27" spans="1:3" s="19" customFormat="1" ht="15" customHeight="1" x14ac:dyDescent="0.3">
      <c r="A27" s="22" t="s">
        <v>38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"/>
  <sheetViews>
    <sheetView showGridLines="0" zoomScaleNormal="100" workbookViewId="0">
      <selection activeCell="H13" sqref="H13"/>
    </sheetView>
  </sheetViews>
  <sheetFormatPr defaultColWidth="8.6640625" defaultRowHeight="14.4" x14ac:dyDescent="0.3"/>
  <cols>
    <col min="1" max="1" width="34" customWidth="1"/>
    <col min="2" max="6" width="18" customWidth="1"/>
  </cols>
  <sheetData>
    <row r="1" spans="1:6" ht="17.25" customHeight="1" x14ac:dyDescent="0.3">
      <c r="A1" s="3" t="s">
        <v>39</v>
      </c>
    </row>
    <row r="2" spans="1:6" ht="30" customHeight="1" x14ac:dyDescent="0.3">
      <c r="A2" s="2" t="s">
        <v>40</v>
      </c>
      <c r="B2" s="2"/>
      <c r="C2" s="2"/>
      <c r="D2" s="2"/>
      <c r="E2" s="2"/>
      <c r="F2" s="2"/>
    </row>
    <row r="4" spans="1:6" s="19" customFormat="1" ht="30" customHeight="1" x14ac:dyDescent="0.3">
      <c r="A4" s="17" t="s">
        <v>41</v>
      </c>
      <c r="B4" s="17" t="s">
        <v>42</v>
      </c>
      <c r="C4" s="17" t="s">
        <v>43</v>
      </c>
      <c r="D4" s="17" t="s">
        <v>44</v>
      </c>
      <c r="E4" s="17" t="s">
        <v>45</v>
      </c>
      <c r="F4" s="17" t="s">
        <v>46</v>
      </c>
    </row>
    <row r="5" spans="1:6" ht="15" customHeight="1" x14ac:dyDescent="0.3">
      <c r="A5" s="4" t="s">
        <v>47</v>
      </c>
      <c r="B5" s="23">
        <v>0.03</v>
      </c>
      <c r="C5" s="23">
        <v>3.5000000000000003E-2</v>
      </c>
      <c r="D5" s="23">
        <v>0.05</v>
      </c>
      <c r="E5" s="23">
        <v>0.1</v>
      </c>
      <c r="F5" s="23">
        <v>0.2</v>
      </c>
    </row>
    <row r="6" spans="1:6" ht="15" customHeight="1" x14ac:dyDescent="0.3">
      <c r="A6" s="4" t="s">
        <v>48</v>
      </c>
      <c r="B6" s="9">
        <f>Assumptions!$B$15</f>
        <v>1.21E-2</v>
      </c>
      <c r="C6" s="9">
        <f>Assumptions!$B$19</f>
        <v>5.4999999999999997E-3</v>
      </c>
      <c r="D6" s="9">
        <f>Assumptions!$B$16</f>
        <v>9.5999999999999992E-3</v>
      </c>
      <c r="E6" s="9">
        <f>Assumptions!$B$17</f>
        <v>6.4999999999999997E-3</v>
      </c>
      <c r="F6" s="9">
        <f>Assumptions!$B$18</f>
        <v>0</v>
      </c>
    </row>
    <row r="7" spans="1:6" ht="15" customHeight="1" x14ac:dyDescent="0.3">
      <c r="A7" s="4" t="s">
        <v>49</v>
      </c>
      <c r="B7" s="10">
        <f>1-B5</f>
        <v>0.97</v>
      </c>
      <c r="C7" s="10">
        <f>(1-C5)*(1+Assumptions!$B$9)</f>
        <v>0.98188750000000002</v>
      </c>
      <c r="D7" s="10">
        <f>1-D5</f>
        <v>0.95</v>
      </c>
      <c r="E7" s="10">
        <f>1-E5</f>
        <v>0.9</v>
      </c>
      <c r="F7" s="10">
        <f>1-F5</f>
        <v>0.8</v>
      </c>
    </row>
    <row r="8" spans="1:6" s="19" customFormat="1" ht="15" customHeight="1" x14ac:dyDescent="0.3">
      <c r="A8" s="28" t="s">
        <v>50</v>
      </c>
    </row>
    <row r="9" spans="1:6" ht="15" customHeight="1" x14ac:dyDescent="0.3">
      <c r="A9" s="5" t="s">
        <v>15</v>
      </c>
      <c r="B9" s="12">
        <f>(Assumptions!$B$11*Assumptions!$B$5/12-Assumptions!$B$7)/(B$7*(-PMT(Assumptions!$B$3/12,Assumptions!$B$4,1))+Assumptions!$B$6/12+B$7*B$6/12)</f>
        <v>232393.28658265737</v>
      </c>
      <c r="C9" s="12">
        <f>(Assumptions!$B$11*Assumptions!$B$5/12-Assumptions!$B$7)/(C$7*(-PMT(Assumptions!$B$3/12,Assumptions!$B$4,1))+Assumptions!$B$6/12+C$7*C$6/12)</f>
        <v>245668.78661618556</v>
      </c>
      <c r="D9" s="12">
        <f>(Assumptions!$B$11*Assumptions!$B$5/12-Assumptions!$B$7)/(D$7*(-PMT(Assumptions!$B$3/12,Assumptions!$B$4,1))+Assumptions!$B$6/12+D$7*D$6/12)</f>
        <v>242618.74747185569</v>
      </c>
      <c r="E9" s="12">
        <f>(Assumptions!$B$11*Assumptions!$B$5/12-Assumptions!$B$7)/(E$7*(-PMT(Assumptions!$B$3/12,Assumptions!$B$4,1))+Assumptions!$B$6/12+E$7*E$6/12)</f>
        <v>262507.37889269751</v>
      </c>
      <c r="F9" s="12">
        <f>(Assumptions!$B$11*Assumptions!$B$5/12-Assumptions!$B$7)/(F$7*(-PMT(Assumptions!$B$3/12,Assumptions!$B$4,1))+Assumptions!$B$6/12+F$7*F$6/12)</f>
        <v>311078.92077763187</v>
      </c>
    </row>
    <row r="10" spans="1:6" ht="15" customHeight="1" x14ac:dyDescent="0.3">
      <c r="A10" s="5" t="s">
        <v>17</v>
      </c>
      <c r="B10" s="12">
        <f>(Assumptions!$B$12*Assumptions!$B$5/12-Assumptions!$B$7)/(B$7*(-PMT(Assumptions!$B$3/12,Assumptions!$B$4,1))+Assumptions!$B$6/12+B$7*B$6/12)</f>
        <v>306951.54670231976</v>
      </c>
      <c r="C10" s="12">
        <f>(Assumptions!$B$12*Assumptions!$B$5/12-Assumptions!$B$7)/(C$7*(-PMT(Assumptions!$B$3/12,Assumptions!$B$4,1))+Assumptions!$B$6/12+C$7*C$6/12)</f>
        <v>324486.19810494885</v>
      </c>
      <c r="D10" s="12">
        <f>(Assumptions!$B$12*Assumptions!$B$5/12-Assumptions!$B$7)/(D$7*(-PMT(Assumptions!$B$3/12,Assumptions!$B$4,1))+Assumptions!$B$6/12+D$7*D$6/12)</f>
        <v>320457.62117563345</v>
      </c>
      <c r="E10" s="12">
        <f>(Assumptions!$B$12*Assumptions!$B$5/12-Assumptions!$B$7)/(E$7*(-PMT(Assumptions!$B$3/12,Assumptions!$B$4,1))+Assumptions!$B$6/12+E$7*E$6/12)</f>
        <v>346727.08130587859</v>
      </c>
      <c r="F10" s="12">
        <f>(Assumptions!$B$12*Assumptions!$B$5/12-Assumptions!$B$7)/(F$7*(-PMT(Assumptions!$B$3/12,Assumptions!$B$4,1))+Assumptions!$B$6/12+F$7*F$6/12)</f>
        <v>410881.73106592771</v>
      </c>
    </row>
    <row r="11" spans="1:6" ht="15" customHeight="1" x14ac:dyDescent="0.3">
      <c r="A11" s="5" t="s">
        <v>18</v>
      </c>
      <c r="B11" s="12">
        <f>(Assumptions!$B$13*Assumptions!$B$5/12-Assumptions!$B$7)/(B$7*(-PMT(Assumptions!$B$3/12,Assumptions!$B$4,1))+Assumptions!$B$6/12+B$7*B$6/12)</f>
        <v>382562.04033173545</v>
      </c>
      <c r="C11" s="12">
        <f>(Assumptions!$B$13*Assumptions!$B$5/12-Assumptions!$B$7)/(C$7*(-PMT(Assumptions!$B$3/12,Assumptions!$B$4,1))+Assumptions!$B$6/12+C$7*C$6/12)</f>
        <v>404415.9520945616</v>
      </c>
      <c r="D11" s="12">
        <f>(Assumptions!$B$13*Assumptions!$B$5/12-Assumptions!$B$7)/(D$7*(-PMT(Assumptions!$B$3/12,Assumptions!$B$4,1))+Assumptions!$B$6/12+D$7*D$6/12)</f>
        <v>399395.0273711984</v>
      </c>
      <c r="E11" s="12">
        <f>(Assumptions!$B$13*Assumptions!$B$5/12-Assumptions!$B$7)/(E$7*(-PMT(Assumptions!$B$3/12,Assumptions!$B$4,1))+Assumptions!$B$6/12+E$7*E$6/12)</f>
        <v>432135.36822892312</v>
      </c>
      <c r="F11" s="12">
        <f>(Assumptions!$B$13*Assumptions!$B$5/12-Assumptions!$B$7)/(F$7*(-PMT(Assumptions!$B$3/12,Assumptions!$B$4,1))+Assumptions!$B$6/12+F$7*F$6/12)</f>
        <v>512093.04875748587</v>
      </c>
    </row>
    <row r="12" spans="1:6" s="19" customFormat="1" ht="15" customHeight="1" x14ac:dyDescent="0.3">
      <c r="A12" s="28" t="s">
        <v>51</v>
      </c>
      <c r="B12" s="28" t="str">
        <f>TEXT(Assumptions!$B$23,"$#,##0")</f>
        <v>$633,926</v>
      </c>
    </row>
    <row r="13" spans="1:6" ht="15" customHeight="1" x14ac:dyDescent="0.3">
      <c r="A13" s="5" t="s">
        <v>15</v>
      </c>
      <c r="B13" s="12">
        <f>B9-Assumptions!$B$23</f>
        <v>-401532.71341734263</v>
      </c>
      <c r="C13" s="12">
        <f>C9-Assumptions!$B$23</f>
        <v>-388257.21338381444</v>
      </c>
      <c r="D13" s="12">
        <f>D9-Assumptions!$B$23</f>
        <v>-391307.25252814428</v>
      </c>
      <c r="E13" s="12">
        <f>E9-Assumptions!$B$23</f>
        <v>-371418.62110730249</v>
      </c>
      <c r="F13" s="12">
        <f>F9-Assumptions!$B$23</f>
        <v>-322847.07922236813</v>
      </c>
    </row>
    <row r="14" spans="1:6" ht="15" customHeight="1" x14ac:dyDescent="0.3">
      <c r="A14" s="5" t="s">
        <v>17</v>
      </c>
      <c r="B14" s="12">
        <f>B10-Assumptions!$B$23</f>
        <v>-326974.45329768024</v>
      </c>
      <c r="C14" s="12">
        <f>C10-Assumptions!$B$23</f>
        <v>-309439.80189505115</v>
      </c>
      <c r="D14" s="12">
        <f>D10-Assumptions!$B$23</f>
        <v>-313468.37882436655</v>
      </c>
      <c r="E14" s="12">
        <f>E10-Assumptions!$B$23</f>
        <v>-287198.91869412141</v>
      </c>
      <c r="F14" s="12">
        <f>F10-Assumptions!$B$23</f>
        <v>-223044.26893407229</v>
      </c>
    </row>
    <row r="15" spans="1:6" ht="15" customHeight="1" x14ac:dyDescent="0.3">
      <c r="A15" s="5" t="s">
        <v>18</v>
      </c>
      <c r="B15" s="12">
        <f>B11-Assumptions!$B$23</f>
        <v>-251363.95966826455</v>
      </c>
      <c r="C15" s="12">
        <f>C11-Assumptions!$B$23</f>
        <v>-229510.0479054384</v>
      </c>
      <c r="D15" s="12">
        <f>D11-Assumptions!$B$23</f>
        <v>-234530.9726288016</v>
      </c>
      <c r="E15" s="12">
        <f>E11-Assumptions!$B$23</f>
        <v>-201790.63177107688</v>
      </c>
      <c r="F15" s="12">
        <f>F11-Assumptions!$B$23</f>
        <v>-121832.95124251413</v>
      </c>
    </row>
    <row r="16" spans="1:6" ht="15" customHeight="1" x14ac:dyDescent="0.3"/>
    <row r="17" spans="1:6" s="19" customFormat="1" ht="15" customHeight="1" x14ac:dyDescent="0.3">
      <c r="A17" s="28" t="s">
        <v>52</v>
      </c>
      <c r="B17" s="28" t="str">
        <f>TEXT(Assumptions!$B$22,"$#,##0")</f>
        <v>$559,482</v>
      </c>
    </row>
    <row r="18" spans="1:6" ht="15" customHeight="1" x14ac:dyDescent="0.3">
      <c r="A18" s="5" t="s">
        <v>15</v>
      </c>
      <c r="B18" s="12">
        <f>B9-Assumptions!$B$22</f>
        <v>-327088.71341734263</v>
      </c>
      <c r="C18" s="12">
        <f>C9-Assumptions!$B$22</f>
        <v>-313813.21338381444</v>
      </c>
      <c r="D18" s="12">
        <f>D9-Assumptions!$B$22</f>
        <v>-316863.25252814428</v>
      </c>
      <c r="E18" s="12">
        <f>E9-Assumptions!$B$22</f>
        <v>-296974.62110730249</v>
      </c>
      <c r="F18" s="12">
        <f>F9-Assumptions!$B$22</f>
        <v>-248403.07922236813</v>
      </c>
    </row>
    <row r="19" spans="1:6" ht="15" customHeight="1" x14ac:dyDescent="0.3">
      <c r="A19" s="5" t="s">
        <v>17</v>
      </c>
      <c r="B19" s="12">
        <f>B10-Assumptions!$B$22</f>
        <v>-252530.45329768024</v>
      </c>
      <c r="C19" s="12">
        <f>C10-Assumptions!$B$22</f>
        <v>-234995.80189505115</v>
      </c>
      <c r="D19" s="12">
        <f>D10-Assumptions!$B$22</f>
        <v>-239024.37882436655</v>
      </c>
      <c r="E19" s="12">
        <f>E10-Assumptions!$B$22</f>
        <v>-212754.91869412141</v>
      </c>
      <c r="F19" s="12">
        <f>F10-Assumptions!$B$22</f>
        <v>-148600.26893407229</v>
      </c>
    </row>
    <row r="20" spans="1:6" ht="15" customHeight="1" x14ac:dyDescent="0.3">
      <c r="A20" s="5" t="s">
        <v>18</v>
      </c>
      <c r="B20" s="12">
        <f>B11-Assumptions!$B$22</f>
        <v>-176919.95966826455</v>
      </c>
      <c r="C20" s="12">
        <f>C11-Assumptions!$B$22</f>
        <v>-155066.0479054384</v>
      </c>
      <c r="D20" s="12">
        <f>D11-Assumptions!$B$22</f>
        <v>-160086.9726288016</v>
      </c>
      <c r="E20" s="12">
        <f>E11-Assumptions!$B$22</f>
        <v>-127346.63177107688</v>
      </c>
      <c r="F20" s="12">
        <f>F11-Assumptions!$B$22</f>
        <v>-47388.951242514129</v>
      </c>
    </row>
  </sheetData>
  <mergeCells count="1"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showGridLines="0" topLeftCell="A2" zoomScale="121" zoomScaleNormal="100" workbookViewId="0">
      <selection activeCell="F11" sqref="F11"/>
    </sheetView>
  </sheetViews>
  <sheetFormatPr defaultColWidth="8.6640625" defaultRowHeight="14.4" x14ac:dyDescent="0.3"/>
  <cols>
    <col min="1" max="1" width="34" customWidth="1"/>
    <col min="2" max="6" width="18" customWidth="1"/>
  </cols>
  <sheetData>
    <row r="1" spans="1:6" ht="17.25" customHeight="1" x14ac:dyDescent="0.3">
      <c r="A1" s="3" t="s">
        <v>53</v>
      </c>
    </row>
    <row r="2" spans="1:6" ht="15" customHeight="1" x14ac:dyDescent="0.3">
      <c r="A2" s="4" t="s">
        <v>54</v>
      </c>
    </row>
    <row r="4" spans="1:6" ht="15" customHeight="1" x14ac:dyDescent="0.3">
      <c r="A4" s="11" t="s">
        <v>55</v>
      </c>
      <c r="B4" s="13">
        <f>Assumptions!$B$23</f>
        <v>633926</v>
      </c>
    </row>
    <row r="5" spans="1:6" s="19" customFormat="1" ht="30" customHeight="1" x14ac:dyDescent="0.3">
      <c r="A5" s="17" t="s">
        <v>56</v>
      </c>
      <c r="B5" s="17" t="s">
        <v>57</v>
      </c>
      <c r="C5" s="17" t="s">
        <v>58</v>
      </c>
      <c r="D5" s="17" t="s">
        <v>59</v>
      </c>
      <c r="E5" s="17" t="s">
        <v>60</v>
      </c>
      <c r="F5" s="17" t="s">
        <v>61</v>
      </c>
    </row>
    <row r="6" spans="1:6" ht="15" customHeight="1" x14ac:dyDescent="0.3">
      <c r="A6" s="5" t="s">
        <v>62</v>
      </c>
      <c r="B6" s="12">
        <f>Assumptions!$B$23*0.03+Assumptions!$B$23*Assumptions!$B$8</f>
        <v>34865.93</v>
      </c>
      <c r="C6" s="12">
        <f>Assumptions!$B$23*(1-0.03)</f>
        <v>614908.22</v>
      </c>
      <c r="D6" s="12">
        <f>C6*(-PMT(Assumptions!$B$3/12,Assumptions!$B$4,1))+Assumptions!$B$23*Assumptions!$B$6/12+Assumptions!$B$7+C6*Assumptions!$B$15/12</f>
        <v>5421.5033769457514</v>
      </c>
      <c r="E6" s="12">
        <f>D6*12/Assumptions!$B$5</f>
        <v>216860.13507783005</v>
      </c>
      <c r="F6" s="12">
        <f>C6*Assumptions!$B$15/12</f>
        <v>620.03245516666664</v>
      </c>
    </row>
    <row r="7" spans="1:6" ht="15" customHeight="1" x14ac:dyDescent="0.3">
      <c r="A7" s="5" t="s">
        <v>63</v>
      </c>
      <c r="B7" s="12">
        <f>Assumptions!$B$23*0.035+Assumptions!$B$23*Assumptions!$B$8</f>
        <v>38035.560000000005</v>
      </c>
      <c r="C7" s="12">
        <f>Assumptions!$B$23*(1-0.035)*(1+Assumptions!$B$9)</f>
        <v>622444.01532500004</v>
      </c>
      <c r="D7" s="12">
        <f>C7*(-PMT(Assumptions!$B$3/12,Assumptions!$B$4,1))+Assumptions!$B$23*Assumptions!$B$6/12+Assumptions!$B$7+C7*Assumptions!$B$19/12</f>
        <v>5136.6408015192628</v>
      </c>
      <c r="E7" s="12">
        <f>D7*12/Assumptions!$B$5</f>
        <v>205465.63206077053</v>
      </c>
      <c r="F7" s="12">
        <f>C7*Assumptions!$B$19/12</f>
        <v>285.28684035729168</v>
      </c>
    </row>
    <row r="8" spans="1:6" ht="15" customHeight="1" x14ac:dyDescent="0.3">
      <c r="A8" s="5" t="s">
        <v>64</v>
      </c>
      <c r="B8" s="12">
        <f>Assumptions!$B$23*0.05+Assumptions!$B$23*Assumptions!$B$8</f>
        <v>47544.450000000004</v>
      </c>
      <c r="C8" s="12">
        <f>Assumptions!$B$23*(1-0.05)</f>
        <v>602229.69999999995</v>
      </c>
      <c r="D8" s="12">
        <f>C8*(-PMT(Assumptions!$B$3/12,Assumptions!$B$4,1))+Assumptions!$B$23*Assumptions!$B$6/12+Assumptions!$B$7+C8*Assumptions!$B$16/12</f>
        <v>5199.3294840791723</v>
      </c>
      <c r="E8" s="12">
        <f>D8*12/Assumptions!$B$5</f>
        <v>207973.17936316691</v>
      </c>
      <c r="F8" s="12">
        <f>C8*Assumptions!$B$16/12</f>
        <v>481.78375999999997</v>
      </c>
    </row>
    <row r="9" spans="1:6" ht="15" customHeight="1" x14ac:dyDescent="0.3">
      <c r="A9" s="5" t="s">
        <v>65</v>
      </c>
      <c r="B9" s="12">
        <f>Assumptions!$B$23*0.1+Assumptions!$B$23*Assumptions!$B$8</f>
        <v>79240.75</v>
      </c>
      <c r="C9" s="12">
        <f>Assumptions!$B$23*(1-0.1)</f>
        <v>570533.4</v>
      </c>
      <c r="D9" s="12">
        <f>C9*(-PMT(Assumptions!$B$3/12,Assumptions!$B$4,1))+Assumptions!$B$23*Assumptions!$B$6/12+Assumptions!$B$7+C9*Assumptions!$B$17/12</f>
        <v>4816.7716548293911</v>
      </c>
      <c r="E9" s="12">
        <f>D9*12/Assumptions!$B$5</f>
        <v>192670.86619317567</v>
      </c>
      <c r="F9" s="12">
        <f>C9*Assumptions!$B$17/12</f>
        <v>309.03892500000001</v>
      </c>
    </row>
    <row r="10" spans="1:6" ht="15" customHeight="1" x14ac:dyDescent="0.3">
      <c r="A10" s="5" t="s">
        <v>66</v>
      </c>
      <c r="B10" s="12">
        <f>Assumptions!$B$23*0.2+Assumptions!$B$23*Assumptions!$B$8</f>
        <v>142633.35</v>
      </c>
      <c r="C10" s="12">
        <f>Assumptions!$B$23*(1-0.2)</f>
        <v>507140.80000000005</v>
      </c>
      <c r="D10" s="12">
        <f>C10*(-PMT(Assumptions!$B$3/12,Assumptions!$B$4,1))+Assumptions!$B$23*Assumptions!$B$6/12+Assumptions!$B$7+C10*Assumptions!$B$18/12</f>
        <v>4088.1067413298301</v>
      </c>
      <c r="E10" s="12">
        <f>D10*12/Assumptions!$B$5</f>
        <v>163524.26965319322</v>
      </c>
      <c r="F10" s="12">
        <f>C10*Assumptions!$B$18/12</f>
        <v>0</v>
      </c>
    </row>
    <row r="14" spans="1:6" ht="15" customHeight="1" x14ac:dyDescent="0.3">
      <c r="A14" s="11" t="s">
        <v>67</v>
      </c>
      <c r="B14" s="13">
        <f>Assumptions!$B$22</f>
        <v>559482</v>
      </c>
    </row>
    <row r="15" spans="1:6" s="19" customFormat="1" ht="30" customHeight="1" x14ac:dyDescent="0.3">
      <c r="A15" s="17" t="s">
        <v>56</v>
      </c>
      <c r="B15" s="17" t="s">
        <v>57</v>
      </c>
      <c r="C15" s="17" t="s">
        <v>58</v>
      </c>
      <c r="D15" s="17" t="s">
        <v>59</v>
      </c>
      <c r="E15" s="17" t="s">
        <v>60</v>
      </c>
      <c r="F15" s="17" t="s">
        <v>61</v>
      </c>
    </row>
    <row r="16" spans="1:6" ht="15" customHeight="1" x14ac:dyDescent="0.3">
      <c r="A16" s="5" t="s">
        <v>62</v>
      </c>
      <c r="B16" s="12">
        <f>Assumptions!$B$22*0.03+Assumptions!$B$22*Assumptions!$B$8</f>
        <v>30771.510000000002</v>
      </c>
      <c r="C16" s="12">
        <f>Assumptions!$B$22*(1-0.03)</f>
        <v>542697.54</v>
      </c>
      <c r="D16" s="12">
        <f>C16*(-PMT(Assumptions!$B$3/12,Assumptions!$B$4,1))+Assumptions!$B$22*Assumptions!$B$6/12+Assumptions!$B$7+C16*Assumptions!$B$15/12</f>
        <v>4802.4535235033163</v>
      </c>
      <c r="E16" s="12">
        <f>D16*12/Assumptions!$B$5</f>
        <v>192098.14094013267</v>
      </c>
      <c r="F16" s="12">
        <f>C16*Assumptions!$B$15/12</f>
        <v>547.22001950000003</v>
      </c>
    </row>
    <row r="17" spans="1:6" ht="15" customHeight="1" x14ac:dyDescent="0.3">
      <c r="A17" s="5" t="s">
        <v>63</v>
      </c>
      <c r="B17" s="12">
        <f>Assumptions!$B$22*0.035+Assumptions!$B$22*Assumptions!$B$8</f>
        <v>33568.920000000006</v>
      </c>
      <c r="C17" s="12">
        <f>Assumptions!$B$22*(1-0.035)*(1+Assumptions!$B$9)</f>
        <v>549348.3822750001</v>
      </c>
      <c r="D17" s="12">
        <f>C17*(-PMT(Assumptions!$B$3/12,Assumptions!$B$4,1))+Assumptions!$B$22*Assumptions!$B$6/12+Assumptions!$B$7+C17*Assumptions!$B$19/12</f>
        <v>4551.0432904086601</v>
      </c>
      <c r="E17" s="12">
        <f>D17*12/Assumptions!$B$5</f>
        <v>182041.73161634643</v>
      </c>
      <c r="F17" s="12">
        <f>C17*Assumptions!$B$19/12</f>
        <v>251.78467520937502</v>
      </c>
    </row>
    <row r="18" spans="1:6" ht="15" customHeight="1" x14ac:dyDescent="0.3">
      <c r="A18" s="5" t="s">
        <v>64</v>
      </c>
      <c r="B18" s="12">
        <f>Assumptions!$B$22*0.05+Assumptions!$B$22*Assumptions!$B$8</f>
        <v>41961.15</v>
      </c>
      <c r="C18" s="12">
        <f>Assumptions!$B$22*(1-0.05)</f>
        <v>531507.9</v>
      </c>
      <c r="D18" s="12">
        <f>C18*(-PMT(Assumptions!$B$3/12,Assumptions!$B$4,1))+Assumptions!$B$22*Assumptions!$B$6/12+Assumptions!$B$7+C18*Assumptions!$B$16/12</f>
        <v>4606.3702362919075</v>
      </c>
      <c r="E18" s="12">
        <f>D18*12/Assumptions!$B$5</f>
        <v>184254.80945167632</v>
      </c>
      <c r="F18" s="12">
        <f>C18*Assumptions!$B$16/12</f>
        <v>425.20632000000001</v>
      </c>
    </row>
    <row r="19" spans="1:6" ht="15" customHeight="1" x14ac:dyDescent="0.3">
      <c r="A19" s="5" t="s">
        <v>65</v>
      </c>
      <c r="B19" s="12">
        <f>Assumptions!$B$22*0.1+Assumptions!$B$22*Assumptions!$B$8</f>
        <v>69935.25</v>
      </c>
      <c r="C19" s="12">
        <f>Assumptions!$B$22*(1-0.1)</f>
        <v>503533.8</v>
      </c>
      <c r="D19" s="12">
        <f>C19*(-PMT(Assumptions!$B$3/12,Assumptions!$B$4,1))+Assumptions!$B$22*Assumptions!$B$6/12+Assumptions!$B$7+C19*Assumptions!$B$17/12</f>
        <v>4268.7374220133852</v>
      </c>
      <c r="E19" s="12">
        <f>D19*12/Assumptions!$B$5</f>
        <v>170749.49688053541</v>
      </c>
      <c r="F19" s="12">
        <f>C19*Assumptions!$B$17/12</f>
        <v>272.74747499999995</v>
      </c>
    </row>
    <row r="20" spans="1:6" ht="15" customHeight="1" x14ac:dyDescent="0.3">
      <c r="A20" s="5" t="s">
        <v>66</v>
      </c>
      <c r="B20" s="12">
        <f>Assumptions!$B$22*0.2+Assumptions!$B$22*Assumptions!$B$8</f>
        <v>125883.45000000001</v>
      </c>
      <c r="C20" s="12">
        <f>Assumptions!$B$22*(1-0.2)</f>
        <v>447585.60000000003</v>
      </c>
      <c r="D20" s="12">
        <f>C20*(-PMT(Assumptions!$B$3/12,Assumptions!$B$4,1))+Assumptions!$B$22*Assumptions!$B$6/12+Assumptions!$B$7+C20*Assumptions!$B$18/12</f>
        <v>3625.6420084563429</v>
      </c>
      <c r="E20" s="12">
        <f>D20*12/Assumptions!$B$5</f>
        <v>145025.6803382537</v>
      </c>
      <c r="F20" s="12">
        <f>C20*Assumptions!$B$18/12</f>
        <v>0</v>
      </c>
    </row>
    <row r="21" spans="1:6" s="30" customFormat="1" ht="15" customHeight="1" x14ac:dyDescent="0.3">
      <c r="A21" s="29" t="s">
        <v>68</v>
      </c>
      <c r="B21" s="29"/>
      <c r="C21" s="29"/>
      <c r="D21" s="29"/>
      <c r="E21" s="29"/>
      <c r="F21" s="29"/>
    </row>
  </sheetData>
  <mergeCells count="1">
    <mergeCell ref="A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1"/>
  <sheetViews>
    <sheetView showGridLines="0" topLeftCell="A20" zoomScaleNormal="100" workbookViewId="0">
      <selection activeCell="A24" sqref="A24:XFD24"/>
    </sheetView>
  </sheetViews>
  <sheetFormatPr defaultColWidth="8.6640625" defaultRowHeight="14.4" x14ac:dyDescent="0.3"/>
  <cols>
    <col min="1" max="1" width="32" customWidth="1"/>
    <col min="2" max="6" width="18" customWidth="1"/>
  </cols>
  <sheetData>
    <row r="1" spans="1:6" ht="17.25" customHeight="1" x14ac:dyDescent="0.3">
      <c r="A1" s="3" t="s">
        <v>69</v>
      </c>
    </row>
    <row r="2" spans="1:6" ht="15" customHeight="1" x14ac:dyDescent="0.3">
      <c r="A2" s="4" t="s">
        <v>70</v>
      </c>
    </row>
    <row r="4" spans="1:6" s="19" customFormat="1" ht="30" customHeight="1" x14ac:dyDescent="0.3">
      <c r="A4" s="17" t="s">
        <v>71</v>
      </c>
      <c r="B4" s="17" t="s">
        <v>72</v>
      </c>
      <c r="C4" s="17" t="s">
        <v>73</v>
      </c>
      <c r="D4" s="17" t="s">
        <v>74</v>
      </c>
      <c r="E4" s="17" t="s">
        <v>75</v>
      </c>
      <c r="F4" s="17" t="s">
        <v>76</v>
      </c>
    </row>
    <row r="5" spans="1:6" ht="15" customHeight="1" x14ac:dyDescent="0.3">
      <c r="A5" s="5" t="s">
        <v>77</v>
      </c>
      <c r="B5" s="8">
        <v>0.03</v>
      </c>
      <c r="C5" s="14" t="s">
        <v>78</v>
      </c>
      <c r="D5" s="12">
        <f>Assumptions!$B$23*B5</f>
        <v>19017.78</v>
      </c>
      <c r="E5" s="15" t="s">
        <v>79</v>
      </c>
      <c r="F5" s="6" t="s">
        <v>80</v>
      </c>
    </row>
    <row r="6" spans="1:6" ht="15" customHeight="1" x14ac:dyDescent="0.3">
      <c r="A6" s="5" t="s">
        <v>81</v>
      </c>
      <c r="B6" s="8">
        <v>3.5000000000000003E-2</v>
      </c>
      <c r="C6" s="14" t="s">
        <v>78</v>
      </c>
      <c r="D6" s="12">
        <f>Assumptions!$B$23*B6</f>
        <v>22187.410000000003</v>
      </c>
      <c r="E6" s="15" t="s">
        <v>79</v>
      </c>
      <c r="F6" s="6" t="s">
        <v>80</v>
      </c>
    </row>
    <row r="7" spans="1:6" ht="15" customHeight="1" x14ac:dyDescent="0.3">
      <c r="A7" s="5" t="s">
        <v>82</v>
      </c>
      <c r="B7" s="8">
        <v>5.5E-2</v>
      </c>
      <c r="C7" s="14" t="s">
        <v>78</v>
      </c>
      <c r="D7" s="12">
        <f>Assumptions!$B$23*B7</f>
        <v>34865.93</v>
      </c>
      <c r="E7" s="15" t="s">
        <v>79</v>
      </c>
      <c r="F7" s="6" t="s">
        <v>83</v>
      </c>
    </row>
    <row r="8" spans="1:6" ht="23.25" customHeight="1" x14ac:dyDescent="0.3">
      <c r="A8" s="5" t="s">
        <v>84</v>
      </c>
      <c r="B8" s="8">
        <v>0.2</v>
      </c>
      <c r="C8" s="7">
        <v>100000</v>
      </c>
      <c r="D8" s="12">
        <f>MIN(Assumptions!$B$23*B8,C8)</f>
        <v>100000</v>
      </c>
      <c r="E8" s="16" t="s">
        <v>85</v>
      </c>
      <c r="F8" s="6" t="s">
        <v>86</v>
      </c>
    </row>
    <row r="9" spans="1:6" ht="34.5" customHeight="1" x14ac:dyDescent="0.3">
      <c r="A9" s="5" t="s">
        <v>87</v>
      </c>
      <c r="B9" s="8">
        <v>0.2</v>
      </c>
      <c r="C9" s="7">
        <v>150000</v>
      </c>
      <c r="D9" s="12">
        <f>MIN(Assumptions!$B$23*B9,C9)</f>
        <v>126785.20000000001</v>
      </c>
      <c r="E9" s="16" t="s">
        <v>88</v>
      </c>
      <c r="F9" s="6" t="s">
        <v>89</v>
      </c>
    </row>
    <row r="13" spans="1:6" ht="15" customHeight="1" x14ac:dyDescent="0.3">
      <c r="A13" s="11" t="s">
        <v>90</v>
      </c>
    </row>
    <row r="14" spans="1:6" s="19" customFormat="1" ht="30" customHeight="1" x14ac:dyDescent="0.3">
      <c r="A14" s="17" t="s">
        <v>56</v>
      </c>
      <c r="B14" s="17" t="s">
        <v>91</v>
      </c>
      <c r="C14" s="17" t="s">
        <v>92</v>
      </c>
      <c r="D14" s="17" t="s">
        <v>93</v>
      </c>
      <c r="E14" s="17"/>
      <c r="F14" s="17"/>
    </row>
    <row r="15" spans="1:6" ht="15" customHeight="1" x14ac:dyDescent="0.3">
      <c r="A15" s="5" t="s">
        <v>62</v>
      </c>
      <c r="B15" s="12">
        <f>Assumptions!$B$23*0.03+Assumptions!$B$23*Assumptions!$B$8</f>
        <v>34865.93</v>
      </c>
      <c r="C15" s="12">
        <f>MAX(0,B15-$D$5)</f>
        <v>15848.150000000001</v>
      </c>
      <c r="D15" s="12">
        <f>MAX(0,B15-$D$7)</f>
        <v>0</v>
      </c>
    </row>
    <row r="16" spans="1:6" ht="15" customHeight="1" x14ac:dyDescent="0.3">
      <c r="A16" s="5" t="s">
        <v>63</v>
      </c>
      <c r="B16" s="12">
        <f>Assumptions!$B$23*0.035+Assumptions!$B$23*Assumptions!$B$8</f>
        <v>38035.560000000005</v>
      </c>
      <c r="C16" s="12">
        <f>MAX(0,B16-$D$6)</f>
        <v>15848.150000000001</v>
      </c>
      <c r="D16" s="12">
        <f>MAX(0,B16-$D$7)</f>
        <v>3169.6300000000047</v>
      </c>
    </row>
    <row r="17" spans="1:6" ht="15" customHeight="1" x14ac:dyDescent="0.3">
      <c r="A17" s="5" t="s">
        <v>64</v>
      </c>
      <c r="B17" s="12">
        <f>Assumptions!$B$23*0.05+Assumptions!$B$23*Assumptions!$B$8</f>
        <v>47544.450000000004</v>
      </c>
      <c r="C17" s="12">
        <f>MAX(0,B17-$D$5)</f>
        <v>28526.670000000006</v>
      </c>
      <c r="D17" s="12">
        <f>MAX(0,B17-$D$7)</f>
        <v>12678.520000000004</v>
      </c>
    </row>
    <row r="18" spans="1:6" ht="15" customHeight="1" x14ac:dyDescent="0.3">
      <c r="A18" s="5" t="s">
        <v>65</v>
      </c>
      <c r="B18" s="12">
        <f>Assumptions!$B$23*0.1+Assumptions!$B$23*Assumptions!$B$8</f>
        <v>79240.75</v>
      </c>
      <c r="C18" s="12">
        <f>MAX(0,B18-$D$5)</f>
        <v>60222.97</v>
      </c>
      <c r="D18" s="12">
        <f>MAX(0,B18-$D$7)</f>
        <v>44374.82</v>
      </c>
    </row>
    <row r="19" spans="1:6" ht="15" customHeight="1" x14ac:dyDescent="0.3">
      <c r="A19" s="5" t="s">
        <v>66</v>
      </c>
      <c r="B19" s="12">
        <f>Assumptions!$B$23*0.2+Assumptions!$B$23*Assumptions!$B$8</f>
        <v>142633.35</v>
      </c>
      <c r="C19" s="12">
        <f>MAX(0,B19-$D$5)</f>
        <v>123615.57</v>
      </c>
      <c r="D19" s="12">
        <f>MAX(0,B19-$D$7)</f>
        <v>107767.42000000001</v>
      </c>
    </row>
    <row r="21" spans="1:6" ht="15" customHeight="1" x14ac:dyDescent="0.3">
      <c r="A21" s="1" t="s">
        <v>94</v>
      </c>
      <c r="B21" s="1"/>
      <c r="C21" s="1"/>
      <c r="D21" s="1"/>
      <c r="E21" s="1"/>
      <c r="F21" s="1"/>
    </row>
    <row r="23" spans="1:6" x14ac:dyDescent="0.3">
      <c r="A23" s="11" t="s">
        <v>95</v>
      </c>
    </row>
    <row r="24" spans="1:6" s="19" customFormat="1" ht="26.4" x14ac:dyDescent="0.3">
      <c r="A24" s="17" t="s">
        <v>56</v>
      </c>
      <c r="B24" s="17" t="s">
        <v>91</v>
      </c>
      <c r="C24" s="17" t="s">
        <v>92</v>
      </c>
      <c r="D24" s="17" t="s">
        <v>93</v>
      </c>
    </row>
    <row r="25" spans="1:6" x14ac:dyDescent="0.3">
      <c r="A25" s="5" t="s">
        <v>62</v>
      </c>
      <c r="B25" s="12">
        <f>Assumptions!$B$22*0.03+Assumptions!$B$22*Assumptions!$B$8</f>
        <v>30771.510000000002</v>
      </c>
      <c r="C25" s="12">
        <f>MAX(0,B25-Assumptions!$B$22*$B$5)</f>
        <v>13987.050000000003</v>
      </c>
      <c r="D25" s="12">
        <f>MAX(0,B25-Assumptions!$B$22*$B$7)</f>
        <v>3.637978807091713E-12</v>
      </c>
    </row>
    <row r="26" spans="1:6" x14ac:dyDescent="0.3">
      <c r="A26" s="5" t="s">
        <v>63</v>
      </c>
      <c r="B26" s="12">
        <f>Assumptions!$B$22*0.035+Assumptions!$B$22*Assumptions!$B$8</f>
        <v>33568.920000000006</v>
      </c>
      <c r="C26" s="12">
        <f>MAX(0,B26-Assumptions!$B$22*$B$6)</f>
        <v>13987.050000000003</v>
      </c>
      <c r="D26" s="12">
        <f>MAX(0,B26-Assumptions!$B$22*$B$7)</f>
        <v>2797.4100000000071</v>
      </c>
    </row>
    <row r="27" spans="1:6" x14ac:dyDescent="0.3">
      <c r="A27" s="5" t="s">
        <v>64</v>
      </c>
      <c r="B27" s="12">
        <f>Assumptions!$B$22*0.05+Assumptions!$B$22*Assumptions!$B$8</f>
        <v>41961.15</v>
      </c>
      <c r="C27" s="12">
        <f>MAX(0,B27-Assumptions!$B$22*$B$5)</f>
        <v>25176.690000000002</v>
      </c>
      <c r="D27" s="12">
        <f>MAX(0,B27-Assumptions!$B$22*$B$7)</f>
        <v>11189.640000000003</v>
      </c>
    </row>
    <row r="28" spans="1:6" x14ac:dyDescent="0.3">
      <c r="A28" s="5" t="s">
        <v>65</v>
      </c>
      <c r="B28" s="12">
        <f>Assumptions!$B$22*0.1+Assumptions!$B$22*Assumptions!$B$8</f>
        <v>69935.25</v>
      </c>
      <c r="C28" s="12">
        <f>MAX(0,B28-Assumptions!$B$22*$B$5)</f>
        <v>53150.79</v>
      </c>
      <c r="D28" s="12">
        <f>MAX(0,B28-Assumptions!$B$22*$B$7)</f>
        <v>39163.740000000005</v>
      </c>
    </row>
    <row r="29" spans="1:6" x14ac:dyDescent="0.3">
      <c r="A29" s="5" t="s">
        <v>66</v>
      </c>
      <c r="B29" s="12">
        <f>Assumptions!$B$22*0.2+Assumptions!$B$22*Assumptions!$B$8</f>
        <v>125883.45000000001</v>
      </c>
      <c r="C29" s="12">
        <f>MAX(0,B29-Assumptions!$B$22*$B$5)</f>
        <v>109098.99000000002</v>
      </c>
      <c r="D29" s="12">
        <f>MAX(0,B29-Assumptions!$B$22*$B$7)</f>
        <v>95111.940000000017</v>
      </c>
    </row>
    <row r="31" spans="1:6" x14ac:dyDescent="0.3">
      <c r="A31" s="6" t="s">
        <v>96</v>
      </c>
    </row>
  </sheetData>
  <mergeCells count="1">
    <mergeCell ref="A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showGridLines="0" zoomScaleNormal="100" workbookViewId="0">
      <selection activeCell="D22" sqref="D22"/>
    </sheetView>
  </sheetViews>
  <sheetFormatPr defaultColWidth="8.6640625" defaultRowHeight="14.4" x14ac:dyDescent="0.3"/>
  <cols>
    <col min="1" max="1" width="32" style="30" customWidth="1"/>
    <col min="2" max="6" width="18" style="30" customWidth="1"/>
    <col min="7" max="16384" width="8.6640625" style="30"/>
  </cols>
  <sheetData>
    <row r="1" spans="1:6" ht="17.25" customHeight="1" x14ac:dyDescent="0.3">
      <c r="A1" s="33" t="s">
        <v>97</v>
      </c>
    </row>
    <row r="2" spans="1:6" ht="15" customHeight="1" x14ac:dyDescent="0.3">
      <c r="A2" s="34" t="s">
        <v>98</v>
      </c>
    </row>
    <row r="4" spans="1:6" ht="15" customHeight="1" x14ac:dyDescent="0.3">
      <c r="A4" s="35" t="s">
        <v>99</v>
      </c>
    </row>
    <row r="5" spans="1:6" s="37" customFormat="1" ht="30" customHeight="1" x14ac:dyDescent="0.3">
      <c r="A5" s="36" t="s">
        <v>100</v>
      </c>
      <c r="B5" s="36" t="s">
        <v>101</v>
      </c>
      <c r="C5" s="36" t="s">
        <v>102</v>
      </c>
      <c r="D5" s="36" t="s">
        <v>103</v>
      </c>
      <c r="E5" s="36"/>
      <c r="F5" s="36"/>
    </row>
    <row r="6" spans="1:6" ht="15" customHeight="1" x14ac:dyDescent="0.3">
      <c r="A6" s="26">
        <v>0.3</v>
      </c>
      <c r="B6" s="38">
        <f>(Assumptions!$B$13*A6/12-Assumptions!$B$7)/(0.97*(-PMT(Assumptions!$B$3/12,Assumptions!$B$4,1))+Assumptions!$B$6/12+0.97*Assumptions!$B$15/12)</f>
        <v>382562.04033173545</v>
      </c>
      <c r="C6" s="38">
        <f>(Assumptions!$B$12*A6/12-Assumptions!$B$7)/(0.97*(-PMT(Assumptions!$B$3/12,Assumptions!$B$4,1))+Assumptions!$B$6/12+0.97*Assumptions!$B$15/12)</f>
        <v>306951.54670231976</v>
      </c>
      <c r="D6" s="38">
        <f>(Assumptions!$B$11*A6/12-Assumptions!$B$7)/(0.97*(-PMT(Assumptions!$B$3/12,Assumptions!$B$4,1))+Assumptions!$B$6/12+0.97*Assumptions!$B$15/12)</f>
        <v>232393.28658265737</v>
      </c>
    </row>
    <row r="7" spans="1:6" ht="15" customHeight="1" x14ac:dyDescent="0.3">
      <c r="A7" s="26">
        <v>0.33</v>
      </c>
      <c r="B7" s="38">
        <f>(Assumptions!$B$13*A7/12-Assumptions!$B$7)/(0.97*(-PMT(Assumptions!$B$3/12,Assumptions!$B$4,1))+Assumptions!$B$6/12+0.97*Assumptions!$B$15/12)</f>
        <v>422622.07323877176</v>
      </c>
      <c r="C7" s="38">
        <f>(Assumptions!$B$12*A7/12-Assumptions!$B$7)/(0.97*(-PMT(Assumptions!$B$3/12,Assumptions!$B$4,1))+Assumptions!$B$6/12+0.97*Assumptions!$B$15/12)</f>
        <v>339450.53024641454</v>
      </c>
      <c r="D7" s="38">
        <f>(Assumptions!$B$11*A7/12-Assumptions!$B$7)/(0.97*(-PMT(Assumptions!$B$3/12,Assumptions!$B$4,1))+Assumptions!$B$6/12+0.97*Assumptions!$B$15/12)</f>
        <v>257436.4441147859</v>
      </c>
    </row>
    <row r="8" spans="1:6" ht="15" customHeight="1" x14ac:dyDescent="0.3">
      <c r="A8" s="26">
        <v>0.36</v>
      </c>
      <c r="B8" s="38">
        <f>(Assumptions!$B$13*A8/12-Assumptions!$B$7)/(0.97*(-PMT(Assumptions!$B$3/12,Assumptions!$B$4,1))+Assumptions!$B$6/12+0.97*Assumptions!$B$15/12)</f>
        <v>462682.10614580812</v>
      </c>
      <c r="C8" s="38">
        <f>(Assumptions!$B$12*A8/12-Assumptions!$B$7)/(0.97*(-PMT(Assumptions!$B$3/12,Assumptions!$B$4,1))+Assumptions!$B$6/12+0.97*Assumptions!$B$15/12)</f>
        <v>371949.51379050931</v>
      </c>
      <c r="D8" s="38">
        <f>(Assumptions!$B$11*A8/12-Assumptions!$B$7)/(0.97*(-PMT(Assumptions!$B$3/12,Assumptions!$B$4,1))+Assumptions!$B$6/12+0.97*Assumptions!$B$15/12)</f>
        <v>282479.60164691444</v>
      </c>
    </row>
    <row r="11" spans="1:6" ht="15" customHeight="1" x14ac:dyDescent="0.3">
      <c r="A11" s="35" t="s">
        <v>104</v>
      </c>
    </row>
    <row r="12" spans="1:6" s="37" customFormat="1" ht="30" customHeight="1" x14ac:dyDescent="0.3">
      <c r="A12" s="36" t="s">
        <v>105</v>
      </c>
      <c r="B12" s="36" t="s">
        <v>106</v>
      </c>
      <c r="C12" s="36" t="s">
        <v>107</v>
      </c>
      <c r="D12" s="36" t="s">
        <v>108</v>
      </c>
      <c r="E12" s="36"/>
      <c r="F12" s="36"/>
    </row>
    <row r="13" spans="1:6" ht="15" customHeight="1" x14ac:dyDescent="0.3">
      <c r="A13" s="39" t="s">
        <v>109</v>
      </c>
      <c r="B13" s="24">
        <v>5.7999999999999996E-3</v>
      </c>
      <c r="C13" s="38">
        <f>Assumptions!$B$23*0.97*B13/12</f>
        <v>297.20563966666663</v>
      </c>
      <c r="D13" s="38">
        <f>C13*120</f>
        <v>35664.676759999995</v>
      </c>
    </row>
    <row r="14" spans="1:6" ht="15" customHeight="1" x14ac:dyDescent="0.3">
      <c r="A14" s="39" t="s">
        <v>110</v>
      </c>
      <c r="B14" s="24">
        <v>9.9000000000000008E-3</v>
      </c>
      <c r="C14" s="38">
        <f>Assumptions!$B$23*0.97*B14/12</f>
        <v>507.29928150000001</v>
      </c>
      <c r="D14" s="38">
        <f>C14*120</f>
        <v>60875.913780000003</v>
      </c>
    </row>
    <row r="15" spans="1:6" ht="15" customHeight="1" x14ac:dyDescent="0.3">
      <c r="A15" s="39" t="s">
        <v>111</v>
      </c>
      <c r="B15" s="24">
        <v>1.21E-2</v>
      </c>
      <c r="C15" s="38">
        <f>Assumptions!$B$23*0.97*B15/12</f>
        <v>620.03245516666664</v>
      </c>
      <c r="D15" s="38">
        <f>C15*120</f>
        <v>74403.894619999992</v>
      </c>
    </row>
    <row r="16" spans="1:6" ht="15" customHeight="1" x14ac:dyDescent="0.3">
      <c r="A16" s="39" t="s">
        <v>112</v>
      </c>
      <c r="B16" s="24">
        <v>1.6500000000000001E-2</v>
      </c>
      <c r="C16" s="38">
        <f>Assumptions!$B$23*0.97*B16/12</f>
        <v>845.4988024999999</v>
      </c>
      <c r="D16" s="38">
        <f>C16*120</f>
        <v>101459.85629999998</v>
      </c>
    </row>
    <row r="18" spans="1:6" ht="15" customHeight="1" x14ac:dyDescent="0.3">
      <c r="A18" s="40" t="s">
        <v>113</v>
      </c>
    </row>
    <row r="20" spans="1:6" ht="15" customHeight="1" x14ac:dyDescent="0.3">
      <c r="A20" s="35" t="s">
        <v>114</v>
      </c>
    </row>
    <row r="21" spans="1:6" s="37" customFormat="1" ht="30" customHeight="1" x14ac:dyDescent="0.3">
      <c r="A21" s="36" t="s">
        <v>115</v>
      </c>
      <c r="B21" s="36" t="s">
        <v>116</v>
      </c>
      <c r="C21" s="36"/>
      <c r="D21" s="36"/>
      <c r="E21" s="36"/>
      <c r="F21" s="36"/>
    </row>
    <row r="22" spans="1:6" ht="15" customHeight="1" x14ac:dyDescent="0.3">
      <c r="A22" s="24">
        <v>6.7100000000000007E-2</v>
      </c>
      <c r="B22" s="38">
        <f>(Assumptions!$B$13*Assumptions!$B$5/12-Assumptions!$B$7)/(0.97*(-PMT(A22/12,Assumptions!$B$4,1))+Assumptions!$B$6/12+0.97*Assumptions!$B$15/12)</f>
        <v>389840.81932575349</v>
      </c>
      <c r="C22" s="40" t="s">
        <v>117</v>
      </c>
    </row>
    <row r="23" spans="1:6" ht="15" customHeight="1" x14ac:dyDescent="0.3">
      <c r="A23" s="24">
        <v>6.9500000000000006E-2</v>
      </c>
      <c r="B23" s="38">
        <f>(Assumptions!$B$13*Assumptions!$B$5/12-Assumptions!$B$7)/(0.97*(-PMT(A23/12,Assumptions!$B$4,1))+Assumptions!$B$6/12+0.97*Assumptions!$B$15/12)</f>
        <v>382562.04033173545</v>
      </c>
      <c r="C23" s="40" t="s">
        <v>118</v>
      </c>
    </row>
    <row r="24" spans="1:6" ht="15" customHeight="1" x14ac:dyDescent="0.3">
      <c r="A24" s="35" t="s">
        <v>119</v>
      </c>
      <c r="B24" s="41">
        <f>B22-B23</f>
        <v>7278.7789940180373</v>
      </c>
    </row>
    <row r="25" spans="1:6" ht="15" customHeight="1" x14ac:dyDescent="0.3">
      <c r="A25" s="29" t="s">
        <v>120</v>
      </c>
      <c r="B25" s="29"/>
      <c r="C25" s="29"/>
      <c r="D25" s="29"/>
    </row>
  </sheetData>
  <mergeCells count="1">
    <mergeCell ref="A25:D2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7"/>
  <sheetViews>
    <sheetView tabSelected="1" topLeftCell="A24" zoomScale="124" zoomScaleNormal="100" workbookViewId="0">
      <selection activeCell="A7" sqref="A7"/>
    </sheetView>
  </sheetViews>
  <sheetFormatPr defaultColWidth="8.6640625" defaultRowHeight="14.4" x14ac:dyDescent="0.3"/>
  <cols>
    <col min="1" max="1" width="34" customWidth="1"/>
    <col min="2" max="5" width="18" customWidth="1"/>
  </cols>
  <sheetData>
    <row r="1" spans="1:5" ht="17.399999999999999" x14ac:dyDescent="0.3">
      <c r="A1" s="3" t="s">
        <v>121</v>
      </c>
    </row>
    <row r="2" spans="1:5" ht="42" customHeight="1" x14ac:dyDescent="0.3">
      <c r="A2" s="32" t="s">
        <v>122</v>
      </c>
      <c r="B2" s="32"/>
      <c r="C2" s="32"/>
      <c r="D2" s="32"/>
      <c r="E2" s="32"/>
    </row>
    <row r="4" spans="1:5" ht="15" customHeight="1" x14ac:dyDescent="0.3">
      <c r="A4" s="11" t="s">
        <v>123</v>
      </c>
    </row>
    <row r="5" spans="1:5" s="19" customFormat="1" ht="30" customHeight="1" x14ac:dyDescent="0.3">
      <c r="A5" s="17" t="s">
        <v>105</v>
      </c>
      <c r="B5" s="18">
        <v>0.03</v>
      </c>
      <c r="C5" s="18">
        <v>0.05</v>
      </c>
      <c r="D5" s="18">
        <v>0.1</v>
      </c>
      <c r="E5" s="18">
        <v>0.2</v>
      </c>
    </row>
    <row r="6" spans="1:5" ht="15" customHeight="1" x14ac:dyDescent="0.3">
      <c r="A6" s="5" t="s">
        <v>109</v>
      </c>
      <c r="B6" s="24">
        <v>5.7999999999999996E-3</v>
      </c>
      <c r="C6" s="24">
        <v>3.8E-3</v>
      </c>
      <c r="D6" s="24">
        <v>2.8E-3</v>
      </c>
      <c r="E6" s="9">
        <f>Assumptions!$B$18</f>
        <v>0</v>
      </c>
    </row>
    <row r="7" spans="1:5" ht="15" customHeight="1" x14ac:dyDescent="0.3">
      <c r="A7" s="5" t="s">
        <v>124</v>
      </c>
      <c r="B7" s="24">
        <v>7.0000000000000001E-3</v>
      </c>
      <c r="C7" s="24">
        <v>5.3E-3</v>
      </c>
      <c r="D7" s="24">
        <v>3.8E-3</v>
      </c>
      <c r="E7" s="9">
        <f>Assumptions!$B$18</f>
        <v>0</v>
      </c>
    </row>
    <row r="8" spans="1:5" ht="15" customHeight="1" x14ac:dyDescent="0.3">
      <c r="A8" s="5" t="s">
        <v>125</v>
      </c>
      <c r="B8" s="24">
        <v>8.6999999999999994E-3</v>
      </c>
      <c r="C8" s="24">
        <v>6.6E-3</v>
      </c>
      <c r="D8" s="24">
        <v>4.5999999999999999E-3</v>
      </c>
      <c r="E8" s="9">
        <f>Assumptions!$B$18</f>
        <v>0</v>
      </c>
    </row>
    <row r="9" spans="1:5" ht="15" customHeight="1" x14ac:dyDescent="0.3">
      <c r="A9" s="5" t="s">
        <v>110</v>
      </c>
      <c r="B9" s="24">
        <v>9.9000000000000008E-3</v>
      </c>
      <c r="C9" s="24">
        <v>7.7999999999999996E-3</v>
      </c>
      <c r="D9" s="24">
        <v>5.4999999999999997E-3</v>
      </c>
      <c r="E9" s="9">
        <f>Assumptions!$B$18</f>
        <v>0</v>
      </c>
    </row>
    <row r="10" spans="1:5" ht="15" customHeight="1" x14ac:dyDescent="0.3">
      <c r="A10" s="5" t="s">
        <v>126</v>
      </c>
      <c r="B10" s="9">
        <f>Assumptions!$B$15</f>
        <v>1.21E-2</v>
      </c>
      <c r="C10" s="9">
        <f>Assumptions!$B$16</f>
        <v>9.5999999999999992E-3</v>
      </c>
      <c r="D10" s="9">
        <f>Assumptions!$B$17</f>
        <v>6.4999999999999997E-3</v>
      </c>
      <c r="E10" s="9">
        <f>Assumptions!$B$18</f>
        <v>0</v>
      </c>
    </row>
    <row r="11" spans="1:5" ht="15" customHeight="1" x14ac:dyDescent="0.3">
      <c r="A11" s="6" t="s">
        <v>127</v>
      </c>
    </row>
    <row r="12" spans="1:5" ht="15" customHeight="1" x14ac:dyDescent="0.3"/>
    <row r="13" spans="1:5" ht="15" customHeight="1" x14ac:dyDescent="0.3">
      <c r="A13" s="11" t="s">
        <v>128</v>
      </c>
    </row>
    <row r="14" spans="1:5" s="19" customFormat="1" ht="30" customHeight="1" x14ac:dyDescent="0.3">
      <c r="A14" s="17" t="s">
        <v>105</v>
      </c>
      <c r="B14" s="18">
        <f>B$5</f>
        <v>0.03</v>
      </c>
      <c r="C14" s="18">
        <f>C$5</f>
        <v>0.05</v>
      </c>
      <c r="D14" s="18">
        <f>D$5</f>
        <v>0.1</v>
      </c>
      <c r="E14" s="18">
        <f>E$5</f>
        <v>0.2</v>
      </c>
    </row>
    <row r="15" spans="1:5" ht="15" customHeight="1" x14ac:dyDescent="0.3">
      <c r="A15" s="5" t="s">
        <v>109</v>
      </c>
      <c r="B15" s="12">
        <f>(Assumptions!$B$23*(1-B$14)*(-PMT(Assumptions!$B$3/12,Assumptions!$B$4,1))+Assumptions!$B$23*Assumptions!$B$6/12+Assumptions!$B$7+Assumptions!$B$23*(1-B$14)*B6/12)*12/Assumptions!$B$5</f>
        <v>203947.06245783009</v>
      </c>
      <c r="C15" s="12">
        <f>(Assumptions!$B$23*(1-C$14)*(-PMT(Assumptions!$B$3/12,Assumptions!$B$4,1))+Assumptions!$B$23*Assumptions!$B$6/12+Assumptions!$B$7+Assumptions!$B$23*(1-C$14)*C6/12)*12/Assumptions!$B$5</f>
        <v>196330.07182983356</v>
      </c>
      <c r="D15" s="12">
        <f>(Assumptions!$B$23*(1-D$14)*(-PMT(Assumptions!$B$3/12,Assumptions!$B$4,1))+Assumptions!$B$23*Assumptions!$B$6/12+Assumptions!$B$7+Assumptions!$B$23*(1-D$14)*D6/12)*12/Assumptions!$B$5</f>
        <v>185634.28759317566</v>
      </c>
      <c r="E15" s="12">
        <f>(Assumptions!$B$23*(1-E$14)*(-PMT(Assumptions!$B$3/12,Assumptions!$B$4,1))+Assumptions!$B$23*Assumptions!$B$6/12+Assumptions!$B$7+Assumptions!$B$23*(1-E$14)*E6/12)*12/Assumptions!$B$5</f>
        <v>163524.26965319322</v>
      </c>
    </row>
    <row r="16" spans="1:5" ht="15" customHeight="1" x14ac:dyDescent="0.3">
      <c r="A16" s="5" t="s">
        <v>124</v>
      </c>
      <c r="B16" s="12">
        <f>(Assumptions!$B$23*(1-B$14)*(-PMT(Assumptions!$B$3/12,Assumptions!$B$4,1))+Assumptions!$B$23*Assumptions!$B$6/12+Assumptions!$B$7+Assumptions!$B$23*(1-B$14)*B7/12)*12/Assumptions!$B$5</f>
        <v>206406.69533783008</v>
      </c>
      <c r="C16" s="12">
        <f>(Assumptions!$B$23*(1-C$14)*(-PMT(Assumptions!$B$3/12,Assumptions!$B$4,1))+Assumptions!$B$23*Assumptions!$B$6/12+Assumptions!$B$7+Assumptions!$B$23*(1-C$14)*C7/12)*12/Assumptions!$B$5</f>
        <v>199341.22032983357</v>
      </c>
      <c r="D16" s="12">
        <f>(Assumptions!$B$23*(1-D$14)*(-PMT(Assumptions!$B$3/12,Assumptions!$B$4,1))+Assumptions!$B$23*Assumptions!$B$6/12+Assumptions!$B$7+Assumptions!$B$23*(1-D$14)*D7/12)*12/Assumptions!$B$5</f>
        <v>187536.06559317568</v>
      </c>
      <c r="E16" s="12">
        <f>(Assumptions!$B$23*(1-E$14)*(-PMT(Assumptions!$B$3/12,Assumptions!$B$4,1))+Assumptions!$B$23*Assumptions!$B$6/12+Assumptions!$B$7+Assumptions!$B$23*(1-E$14)*E7/12)*12/Assumptions!$B$5</f>
        <v>163524.26965319322</v>
      </c>
    </row>
    <row r="17" spans="1:5" ht="15" customHeight="1" x14ac:dyDescent="0.3">
      <c r="A17" s="5" t="s">
        <v>125</v>
      </c>
      <c r="B17" s="12">
        <f>(Assumptions!$B$23*(1-B$14)*(-PMT(Assumptions!$B$3/12,Assumptions!$B$4,1))+Assumptions!$B$23*Assumptions!$B$6/12+Assumptions!$B$7+Assumptions!$B$23*(1-B$14)*B8/12)*12/Assumptions!$B$5</f>
        <v>209891.17525116343</v>
      </c>
      <c r="C17" s="12">
        <f>(Assumptions!$B$23*(1-C$14)*(-PMT(Assumptions!$B$3/12,Assumptions!$B$4,1))+Assumptions!$B$23*Assumptions!$B$6/12+Assumptions!$B$7+Assumptions!$B$23*(1-C$14)*C8/12)*12/Assumptions!$B$5</f>
        <v>201950.88236316689</v>
      </c>
      <c r="D17" s="12">
        <f>(Assumptions!$B$23*(1-D$14)*(-PMT(Assumptions!$B$3/12,Assumptions!$B$4,1))+Assumptions!$B$23*Assumptions!$B$6/12+Assumptions!$B$7+Assumptions!$B$23*(1-D$14)*D8/12)*12/Assumptions!$B$5</f>
        <v>189057.48799317566</v>
      </c>
      <c r="E17" s="12">
        <f>(Assumptions!$B$23*(1-E$14)*(-PMT(Assumptions!$B$3/12,Assumptions!$B$4,1))+Assumptions!$B$23*Assumptions!$B$6/12+Assumptions!$B$7+Assumptions!$B$23*(1-E$14)*E8/12)*12/Assumptions!$B$5</f>
        <v>163524.26965319322</v>
      </c>
    </row>
    <row r="18" spans="1:5" ht="15" customHeight="1" x14ac:dyDescent="0.3">
      <c r="A18" s="5" t="s">
        <v>110</v>
      </c>
      <c r="B18" s="12">
        <f>(Assumptions!$B$23*(1-B$14)*(-PMT(Assumptions!$B$3/12,Assumptions!$B$4,1))+Assumptions!$B$23*Assumptions!$B$6/12+Assumptions!$B$7+Assumptions!$B$23*(1-B$14)*B9/12)*12/Assumptions!$B$5</f>
        <v>212350.80813116342</v>
      </c>
      <c r="C18" s="12">
        <f>(Assumptions!$B$23*(1-C$14)*(-PMT(Assumptions!$B$3/12,Assumptions!$B$4,1))+Assumptions!$B$23*Assumptions!$B$6/12+Assumptions!$B$7+Assumptions!$B$23*(1-C$14)*C9/12)*12/Assumptions!$B$5</f>
        <v>204359.80116316691</v>
      </c>
      <c r="D18" s="12">
        <f>(Assumptions!$B$23*(1-D$14)*(-PMT(Assumptions!$B$3/12,Assumptions!$B$4,1))+Assumptions!$B$23*Assumptions!$B$6/12+Assumptions!$B$7+Assumptions!$B$23*(1-D$14)*D9/12)*12/Assumptions!$B$5</f>
        <v>190769.08819317567</v>
      </c>
      <c r="E18" s="12">
        <f>(Assumptions!$B$23*(1-E$14)*(-PMT(Assumptions!$B$3/12,Assumptions!$B$4,1))+Assumptions!$B$23*Assumptions!$B$6/12+Assumptions!$B$7+Assumptions!$B$23*(1-E$14)*E9/12)*12/Assumptions!$B$5</f>
        <v>163524.26965319322</v>
      </c>
    </row>
    <row r="19" spans="1:5" ht="15" customHeight="1" x14ac:dyDescent="0.3">
      <c r="A19" s="5" t="s">
        <v>126</v>
      </c>
      <c r="B19" s="12">
        <f>(Assumptions!$B$23*(1-B$14)*(-PMT(Assumptions!$B$3/12,Assumptions!$B$4,1))+Assumptions!$B$23*Assumptions!$B$6/12+Assumptions!$B$7+Assumptions!$B$23*(1-B$14)*B10/12)*12/Assumptions!$B$5</f>
        <v>216860.13507783005</v>
      </c>
      <c r="C19" s="12">
        <f>(Assumptions!$B$23*(1-C$14)*(-PMT(Assumptions!$B$3/12,Assumptions!$B$4,1))+Assumptions!$B$23*Assumptions!$B$6/12+Assumptions!$B$7+Assumptions!$B$23*(1-C$14)*C10/12)*12/Assumptions!$B$5</f>
        <v>207973.17936316691</v>
      </c>
      <c r="D19" s="12">
        <f>(Assumptions!$B$23*(1-D$14)*(-PMT(Assumptions!$B$3/12,Assumptions!$B$4,1))+Assumptions!$B$23*Assumptions!$B$6/12+Assumptions!$B$7+Assumptions!$B$23*(1-D$14)*D10/12)*12/Assumptions!$B$5</f>
        <v>192670.86619317567</v>
      </c>
      <c r="E19" s="12">
        <f>(Assumptions!$B$23*(1-E$14)*(-PMT(Assumptions!$B$3/12,Assumptions!$B$4,1))+Assumptions!$B$23*Assumptions!$B$6/12+Assumptions!$B$7+Assumptions!$B$23*(1-E$14)*E10/12)*12/Assumptions!$B$5</f>
        <v>163524.26965319322</v>
      </c>
    </row>
    <row r="20" spans="1:5" ht="15" customHeight="1" x14ac:dyDescent="0.3"/>
    <row r="21" spans="1:5" ht="15" customHeight="1" x14ac:dyDescent="0.3">
      <c r="A21" s="11" t="s">
        <v>129</v>
      </c>
    </row>
    <row r="22" spans="1:5" s="19" customFormat="1" ht="30" customHeight="1" x14ac:dyDescent="0.3">
      <c r="A22" s="17" t="s">
        <v>105</v>
      </c>
      <c r="B22" s="18">
        <f>B$5</f>
        <v>0.03</v>
      </c>
      <c r="C22" s="18">
        <f>C$5</f>
        <v>0.05</v>
      </c>
      <c r="D22" s="18">
        <f>D$5</f>
        <v>0.1</v>
      </c>
      <c r="E22" s="18">
        <f>E$5</f>
        <v>0.2</v>
      </c>
    </row>
    <row r="23" spans="1:5" ht="15" customHeight="1" x14ac:dyDescent="0.3">
      <c r="A23" s="5" t="s">
        <v>109</v>
      </c>
      <c r="B23" s="12">
        <f>(Assumptions!$B$22*(1-B$22)*(-PMT(Assumptions!$B$3/12,Assumptions!$B$4,1))+Assumptions!$B$22*Assumptions!$B$6/12+Assumptions!$B$7+Assumptions!$B$22*(1-B$22)*B6/12)*12/Assumptions!$B$5</f>
        <v>180701.49260013262</v>
      </c>
      <c r="C23" s="12">
        <f>(Assumptions!$B$22*(1-C$22)*(-PMT(Assumptions!$B$3/12,Assumptions!$B$4,1))+Assumptions!$B$22*Assumptions!$B$6/12+Assumptions!$B$7+Assumptions!$B$22*(1-C$22)*C6/12)*12/Assumptions!$B$5</f>
        <v>173978.99005167632</v>
      </c>
      <c r="D23" s="12">
        <f>(Assumptions!$B$22*(1-D$22)*(-PMT(Assumptions!$B$3/12,Assumptions!$B$4,1))+Assumptions!$B$22*Assumptions!$B$6/12+Assumptions!$B$7+Assumptions!$B$22*(1-D$22)*D6/12)*12/Assumptions!$B$5</f>
        <v>164539.24668053543</v>
      </c>
      <c r="E23" s="12">
        <f>(Assumptions!$B$22*(1-E$22)*(-PMT(Assumptions!$B$3/12,Assumptions!$B$4,1))+Assumptions!$B$22*Assumptions!$B$6/12+Assumptions!$B$7+Assumptions!$B$22*(1-E$22)*E6/12)*12/Assumptions!$B$5</f>
        <v>145025.6803382537</v>
      </c>
    </row>
    <row r="24" spans="1:5" ht="15" customHeight="1" x14ac:dyDescent="0.3">
      <c r="A24" s="5" t="s">
        <v>124</v>
      </c>
      <c r="B24" s="12">
        <f>(Assumptions!$B$22*(1-B$22)*(-PMT(Assumptions!$B$3/12,Assumptions!$B$4,1))+Assumptions!$B$22*Assumptions!$B$6/12+Assumptions!$B$7+Assumptions!$B$22*(1-B$22)*B7/12)*12/Assumptions!$B$5</f>
        <v>182872.28276013263</v>
      </c>
      <c r="C24" s="12">
        <f>(Assumptions!$B$22*(1-C$22)*(-PMT(Assumptions!$B$3/12,Assumptions!$B$4,1))+Assumptions!$B$22*Assumptions!$B$6/12+Assumptions!$B$7+Assumptions!$B$22*(1-C$22)*C7/12)*12/Assumptions!$B$5</f>
        <v>176636.5295516763</v>
      </c>
      <c r="D24" s="12">
        <f>(Assumptions!$B$22*(1-D$22)*(-PMT(Assumptions!$B$3/12,Assumptions!$B$4,1))+Assumptions!$B$22*Assumptions!$B$6/12+Assumptions!$B$7+Assumptions!$B$22*(1-D$22)*D7/12)*12/Assumptions!$B$5</f>
        <v>166217.69268053546</v>
      </c>
      <c r="E24" s="12">
        <f>(Assumptions!$B$22*(1-E$22)*(-PMT(Assumptions!$B$3/12,Assumptions!$B$4,1))+Assumptions!$B$22*Assumptions!$B$6/12+Assumptions!$B$7+Assumptions!$B$22*(1-E$22)*E7/12)*12/Assumptions!$B$5</f>
        <v>145025.6803382537</v>
      </c>
    </row>
    <row r="25" spans="1:5" ht="15" customHeight="1" x14ac:dyDescent="0.3">
      <c r="A25" s="5" t="s">
        <v>125</v>
      </c>
      <c r="B25" s="12">
        <f>(Assumptions!$B$22*(1-B$22)*(-PMT(Assumptions!$B$3/12,Assumptions!$B$4,1))+Assumptions!$B$22*Assumptions!$B$6/12+Assumptions!$B$7+Assumptions!$B$22*(1-B$22)*B8/12)*12/Assumptions!$B$5</f>
        <v>185947.56882013264</v>
      </c>
      <c r="C25" s="12">
        <f>(Assumptions!$B$22*(1-C$22)*(-PMT(Assumptions!$B$3/12,Assumptions!$B$4,1))+Assumptions!$B$22*Assumptions!$B$6/12+Assumptions!$B$7+Assumptions!$B$22*(1-C$22)*C8/12)*12/Assumptions!$B$5</f>
        <v>178939.7304516763</v>
      </c>
      <c r="D25" s="12">
        <f>(Assumptions!$B$22*(1-D$22)*(-PMT(Assumptions!$B$3/12,Assumptions!$B$4,1))+Assumptions!$B$22*Assumptions!$B$6/12+Assumptions!$B$7+Assumptions!$B$22*(1-D$22)*D8/12)*12/Assumptions!$B$5</f>
        <v>167560.44948053543</v>
      </c>
      <c r="E25" s="12">
        <f>(Assumptions!$B$22*(1-E$22)*(-PMT(Assumptions!$B$3/12,Assumptions!$B$4,1))+Assumptions!$B$22*Assumptions!$B$6/12+Assumptions!$B$7+Assumptions!$B$22*(1-E$22)*E8/12)*12/Assumptions!$B$5</f>
        <v>145025.6803382537</v>
      </c>
    </row>
    <row r="26" spans="1:5" ht="15" customHeight="1" x14ac:dyDescent="0.3">
      <c r="A26" s="5" t="s">
        <v>110</v>
      </c>
      <c r="B26" s="12">
        <f>(Assumptions!$B$22*(1-B$22)*(-PMT(Assumptions!$B$3/12,Assumptions!$B$4,1))+Assumptions!$B$22*Assumptions!$B$6/12+Assumptions!$B$7+Assumptions!$B$22*(1-B$22)*B9/12)*12/Assumptions!$B$5</f>
        <v>188118.35898013267</v>
      </c>
      <c r="C26" s="12">
        <f>(Assumptions!$B$22*(1-C$22)*(-PMT(Assumptions!$B$3/12,Assumptions!$B$4,1))+Assumptions!$B$22*Assumptions!$B$6/12+Assumptions!$B$7+Assumptions!$B$22*(1-C$22)*C9/12)*12/Assumptions!$B$5</f>
        <v>181065.76205167628</v>
      </c>
      <c r="D26" s="12">
        <f>(Assumptions!$B$22*(1-D$22)*(-PMT(Assumptions!$B$3/12,Assumptions!$B$4,1))+Assumptions!$B$22*Assumptions!$B$6/12+Assumptions!$B$7+Assumptions!$B$22*(1-D$22)*D9/12)*12/Assumptions!$B$5</f>
        <v>169071.05088053542</v>
      </c>
      <c r="E26" s="12">
        <f>(Assumptions!$B$22*(1-E$22)*(-PMT(Assumptions!$B$3/12,Assumptions!$B$4,1))+Assumptions!$B$22*Assumptions!$B$6/12+Assumptions!$B$7+Assumptions!$B$22*(1-E$22)*E9/12)*12/Assumptions!$B$5</f>
        <v>145025.6803382537</v>
      </c>
    </row>
    <row r="27" spans="1:5" ht="15" customHeight="1" x14ac:dyDescent="0.3">
      <c r="A27" s="5" t="s">
        <v>126</v>
      </c>
      <c r="B27" s="12">
        <f>(Assumptions!$B$22*(1-B$22)*(-PMT(Assumptions!$B$3/12,Assumptions!$B$4,1))+Assumptions!$B$22*Assumptions!$B$6/12+Assumptions!$B$7+Assumptions!$B$22*(1-B$22)*B10/12)*12/Assumptions!$B$5</f>
        <v>192098.14094013267</v>
      </c>
      <c r="C27" s="12">
        <f>(Assumptions!$B$22*(1-C$22)*(-PMT(Assumptions!$B$3/12,Assumptions!$B$4,1))+Assumptions!$B$22*Assumptions!$B$6/12+Assumptions!$B$7+Assumptions!$B$22*(1-C$22)*C10/12)*12/Assumptions!$B$5</f>
        <v>184254.80945167632</v>
      </c>
      <c r="D27" s="12">
        <f>(Assumptions!$B$22*(1-D$22)*(-PMT(Assumptions!$B$3/12,Assumptions!$B$4,1))+Assumptions!$B$22*Assumptions!$B$6/12+Assumptions!$B$7+Assumptions!$B$22*(1-D$22)*D10/12)*12/Assumptions!$B$5</f>
        <v>170749.49688053541</v>
      </c>
      <c r="E27" s="12">
        <f>(Assumptions!$B$22*(1-E$22)*(-PMT(Assumptions!$B$3/12,Assumptions!$B$4,1))+Assumptions!$B$22*Assumptions!$B$6/12+Assumptions!$B$7+Assumptions!$B$22*(1-E$22)*E10/12)*12/Assumptions!$B$5</f>
        <v>145025.6803382537</v>
      </c>
    </row>
    <row r="28" spans="1:5" ht="15" customHeight="1" x14ac:dyDescent="0.3"/>
    <row r="29" spans="1:5" ht="15" customHeight="1" x14ac:dyDescent="0.3">
      <c r="A29" s="11" t="s">
        <v>130</v>
      </c>
    </row>
    <row r="30" spans="1:5" s="19" customFormat="1" ht="30" customHeight="1" x14ac:dyDescent="0.3">
      <c r="A30" s="17" t="s">
        <v>105</v>
      </c>
      <c r="B30" s="18">
        <f>B$5</f>
        <v>0.03</v>
      </c>
      <c r="C30" s="18">
        <f>C$5</f>
        <v>0.05</v>
      </c>
      <c r="D30" s="18">
        <f>D$5</f>
        <v>0.1</v>
      </c>
      <c r="E30" s="18">
        <f>E$5</f>
        <v>0.2</v>
      </c>
    </row>
    <row r="31" spans="1:5" ht="15" customHeight="1" x14ac:dyDescent="0.3">
      <c r="A31" s="5" t="s">
        <v>109</v>
      </c>
      <c r="B31" s="12">
        <f>(Assumptions!$B$13*Assumptions!$B$5/12-Assumptions!$B$7)/((1-B$30)*(-PMT(Assumptions!$B$3/12,Assumptions!$B$4,1))+Assumptions!$B$6/12+(1-B$30)*B6/12)</f>
        <v>407518.46730327222</v>
      </c>
      <c r="C31" s="12">
        <f>(Assumptions!$B$13*Assumptions!$B$5/12-Assumptions!$B$7)/((1-C$30)*(-PMT(Assumptions!$B$3/12,Assumptions!$B$4,1))+Assumptions!$B$6/12+(1-C$30)*C6/12)</f>
        <v>423827.31601194991</v>
      </c>
      <c r="D31" s="12">
        <f>(Assumptions!$B$13*Assumptions!$B$5/12-Assumptions!$B$7)/((1-D$30)*(-PMT(Assumptions!$B$3/12,Assumptions!$B$4,1))+Assumptions!$B$6/12+(1-D$30)*D6/12)</f>
        <v>449062.84084634052</v>
      </c>
      <c r="E31" s="12">
        <f>(Assumptions!$B$13*Assumptions!$B$5/12-Assumptions!$B$7)/((1-E$30)*(-PMT(Assumptions!$B$3/12,Assumptions!$B$4,1))+Assumptions!$B$6/12+(1-E$30)*E6/12)</f>
        <v>512093.04875748587</v>
      </c>
    </row>
    <row r="32" spans="1:5" ht="15" customHeight="1" x14ac:dyDescent="0.3">
      <c r="A32" s="5" t="s">
        <v>124</v>
      </c>
      <c r="B32" s="12">
        <f>(Assumptions!$B$13*Assumptions!$B$5/12-Assumptions!$B$7)/((1-B$30)*(-PMT(Assumptions!$B$3/12,Assumptions!$B$4,1))+Assumptions!$B$6/12+(1-B$30)*B7/12)</f>
        <v>402516.9087490699</v>
      </c>
      <c r="C32" s="12">
        <f>(Assumptions!$B$13*Assumptions!$B$5/12-Assumptions!$B$7)/((1-C$30)*(-PMT(Assumptions!$B$3/12,Assumptions!$B$4,1))+Assumptions!$B$6/12+(1-C$30)*C7/12)</f>
        <v>417226.51466865005</v>
      </c>
      <c r="D32" s="12">
        <f>(Assumptions!$B$13*Assumptions!$B$5/12-Assumptions!$B$7)/((1-D$30)*(-PMT(Assumptions!$B$3/12,Assumptions!$B$4,1))+Assumptions!$B$6/12+(1-D$30)*D7/12)</f>
        <v>444358.44324607012</v>
      </c>
      <c r="E32" s="12">
        <f>(Assumptions!$B$13*Assumptions!$B$5/12-Assumptions!$B$7)/((1-E$30)*(-PMT(Assumptions!$B$3/12,Assumptions!$B$4,1))+Assumptions!$B$6/12+(1-E$30)*E7/12)</f>
        <v>512093.04875748587</v>
      </c>
    </row>
    <row r="33" spans="1:5" ht="15" customHeight="1" x14ac:dyDescent="0.3">
      <c r="A33" s="5" t="s">
        <v>125</v>
      </c>
      <c r="B33" s="12">
        <f>(Assumptions!$B$13*Assumptions!$B$5/12-Assumptions!$B$7)/((1-B$30)*(-PMT(Assumptions!$B$3/12,Assumptions!$B$4,1))+Assumptions!$B$6/12+(1-B$30)*B8/12)</f>
        <v>395637.93479845434</v>
      </c>
      <c r="C33" s="12">
        <f>(Assumptions!$B$13*Assumptions!$B$5/12-Assumptions!$B$7)/((1-C$30)*(-PMT(Assumptions!$B$3/12,Assumptions!$B$4,1))+Assumptions!$B$6/12+(1-C$30)*C8/12)</f>
        <v>411669.91710961075</v>
      </c>
      <c r="D33" s="12">
        <f>(Assumptions!$B$13*Assumptions!$B$5/12-Assumptions!$B$7)/((1-D$30)*(-PMT(Assumptions!$B$3/12,Assumptions!$B$4,1))+Assumptions!$B$6/12+(1-D$30)*D8/12)</f>
        <v>440665.30347563414</v>
      </c>
      <c r="E33" s="12">
        <f>(Assumptions!$B$13*Assumptions!$B$5/12-Assumptions!$B$7)/((1-E$30)*(-PMT(Assumptions!$B$3/12,Assumptions!$B$4,1))+Assumptions!$B$6/12+(1-E$30)*E8/12)</f>
        <v>512093.04875748587</v>
      </c>
    </row>
    <row r="34" spans="1:5" ht="15" customHeight="1" x14ac:dyDescent="0.3">
      <c r="A34" s="5" t="s">
        <v>110</v>
      </c>
      <c r="B34" s="12">
        <f>(Assumptions!$B$13*Assumptions!$B$5/12-Assumptions!$B$7)/((1-B$30)*(-PMT(Assumptions!$B$3/12,Assumptions!$B$4,1))+Assumptions!$B$6/12+(1-B$30)*B9/12)</f>
        <v>390922.06243614684</v>
      </c>
      <c r="C34" s="12">
        <f>(Assumptions!$B$13*Assumptions!$B$5/12-Assumptions!$B$7)/((1-C$30)*(-PMT(Assumptions!$B$3/12,Assumptions!$B$4,1))+Assumptions!$B$6/12+(1-C$30)*C9/12)</f>
        <v>406670.52006996539</v>
      </c>
      <c r="D34" s="12">
        <f>(Assumptions!$B$13*Assumptions!$B$5/12-Assumptions!$B$7)/((1-D$30)*(-PMT(Assumptions!$B$3/12,Assumptions!$B$4,1))+Assumptions!$B$6/12+(1-D$30)*D9/12)</f>
        <v>436583.22010910587</v>
      </c>
      <c r="E34" s="12">
        <f>(Assumptions!$B$13*Assumptions!$B$5/12-Assumptions!$B$7)/((1-E$30)*(-PMT(Assumptions!$B$3/12,Assumptions!$B$4,1))+Assumptions!$B$6/12+(1-E$30)*E9/12)</f>
        <v>512093.04875748587</v>
      </c>
    </row>
    <row r="35" spans="1:5" ht="15" customHeight="1" x14ac:dyDescent="0.3">
      <c r="A35" s="5" t="s">
        <v>126</v>
      </c>
      <c r="B35" s="12">
        <f>(Assumptions!$B$13*Assumptions!$B$5/12-Assumptions!$B$7)/((1-B$30)*(-PMT(Assumptions!$B$3/12,Assumptions!$B$4,1))+Assumptions!$B$6/12+(1-B$30)*B10/12)</f>
        <v>382562.04033173545</v>
      </c>
      <c r="C35" s="12">
        <f>(Assumptions!$B$13*Assumptions!$B$5/12-Assumptions!$B$7)/((1-C$30)*(-PMT(Assumptions!$B$3/12,Assumptions!$B$4,1))+Assumptions!$B$6/12+(1-C$30)*C10/12)</f>
        <v>399395.0273711984</v>
      </c>
      <c r="D35" s="12">
        <f>(Assumptions!$B$13*Assumptions!$B$5/12-Assumptions!$B$7)/((1-D$30)*(-PMT(Assumptions!$B$3/12,Assumptions!$B$4,1))+Assumptions!$B$6/12+(1-D$30)*D10/12)</f>
        <v>432135.36822892312</v>
      </c>
      <c r="E35" s="12">
        <f>(Assumptions!$B$13*Assumptions!$B$5/12-Assumptions!$B$7)/((1-E$30)*(-PMT(Assumptions!$B$3/12,Assumptions!$B$4,1))+Assumptions!$B$6/12+(1-E$30)*E10/12)</f>
        <v>512093.04875748587</v>
      </c>
    </row>
    <row r="37" spans="1:5" ht="39.75" customHeight="1" x14ac:dyDescent="0.3">
      <c r="A37" s="31" t="s">
        <v>131</v>
      </c>
      <c r="B37" s="31"/>
      <c r="C37" s="31"/>
      <c r="D37" s="31"/>
      <c r="E37" s="31"/>
    </row>
  </sheetData>
  <mergeCells count="2">
    <mergeCell ref="A2:E2"/>
    <mergeCell ref="A37:E37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Purchasing Power</vt:lpstr>
      <vt:lpstr>Cost to Buy</vt:lpstr>
      <vt:lpstr>Assistance</vt:lpstr>
      <vt:lpstr>Sensitivity</vt:lpstr>
      <vt:lpstr>Credit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Vivian Chan</cp:lastModifiedBy>
  <cp:revision>0</cp:revision>
  <dcterms:created xsi:type="dcterms:W3CDTF">2026-09-21T18:42:20Z</dcterms:created>
  <dcterms:modified xsi:type="dcterms:W3CDTF">2026-10-05T21:38:53Z</dcterms:modified>
  <dc:language>en-US</dc:language>
</cp:coreProperties>
</file>